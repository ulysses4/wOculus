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93833b5f5eecc63/Documents/US_Inflation/"/>
    </mc:Choice>
  </mc:AlternateContent>
  <xr:revisionPtr revIDLastSave="12" documentId="8_{7B1AD5D7-C852-4548-B2A7-26A5F66B3016}" xr6:coauthVersionLast="47" xr6:coauthVersionMax="47" xr10:uidLastSave="{CBC134E1-5A72-49CF-8D82-016C120B24E6}"/>
  <bookViews>
    <workbookView xWindow="38280" yWindow="135" windowWidth="38640" windowHeight="21120" activeTab="1" xr2:uid="{43691728-7BD3-4943-9C52-BC1CB2CCE3D5}"/>
  </bookViews>
  <sheets>
    <sheet name="mapping" sheetId="1" r:id="rId1"/>
    <sheet name="TIPS" sheetId="2" r:id="rId2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6" i="2" l="1" a="1"/>
  <c r="W56" i="2"/>
  <c r="W40" i="2" a="1"/>
  <c r="W40" i="2"/>
  <c r="W48" i="2" a="1"/>
  <c r="W48" i="2"/>
  <c r="W24" i="2" a="1"/>
  <c r="W24" i="2"/>
  <c r="W27" i="2" a="1"/>
  <c r="W27" i="2"/>
  <c r="W31" i="2" a="1"/>
  <c r="W31" i="2"/>
  <c r="W29" i="2" a="1"/>
  <c r="W29" i="2"/>
  <c r="W50" i="2" a="1"/>
  <c r="W50" i="2"/>
  <c r="W16" i="2" a="1"/>
  <c r="W16" i="2"/>
  <c r="W34" i="2" a="1"/>
  <c r="W34" i="2"/>
  <c r="W43" i="2" a="1"/>
  <c r="W43" i="2"/>
  <c r="W54" i="2" a="1"/>
  <c r="W54" i="2"/>
  <c r="W15" i="2" a="1"/>
  <c r="W15" i="2"/>
  <c r="BM4" i="2" a="1"/>
  <c r="BM4" i="2"/>
  <c r="BM5" i="2" a="1"/>
  <c r="BM5" i="2"/>
  <c r="W10" i="2" a="1"/>
  <c r="W10" i="2"/>
  <c r="W46" i="2" a="1"/>
  <c r="W46" i="2"/>
  <c r="W26" i="2" a="1"/>
  <c r="W26" i="2"/>
  <c r="W35" i="2" a="1"/>
  <c r="W35" i="2"/>
  <c r="W25" i="2" a="1"/>
  <c r="W25" i="2"/>
  <c r="W11" i="2" a="1"/>
  <c r="W11" i="2"/>
  <c r="W59" i="2" a="1"/>
  <c r="W59" i="2"/>
  <c r="BM1" i="2" a="1"/>
  <c r="BM1" i="2"/>
  <c r="W22" i="2" a="1"/>
  <c r="W22" i="2"/>
  <c r="W37" i="2" a="1"/>
  <c r="W37" i="2"/>
  <c r="W47" i="2" a="1"/>
  <c r="W47" i="2"/>
  <c r="W20" i="2" a="1"/>
  <c r="W20" i="2"/>
  <c r="W45" i="2" a="1"/>
  <c r="W45" i="2"/>
  <c r="W52" i="2" a="1"/>
  <c r="W52" i="2"/>
  <c r="W17" i="2" a="1"/>
  <c r="W17" i="2"/>
  <c r="W57" i="2" a="1"/>
  <c r="W57" i="2"/>
  <c r="W38" i="2" a="1"/>
  <c r="W38" i="2"/>
  <c r="W8" i="2" a="1"/>
  <c r="W8" i="2"/>
  <c r="W13" i="2" a="1"/>
  <c r="W13" i="2"/>
  <c r="BM3" i="2" a="1"/>
  <c r="BM3" i="2"/>
  <c r="W42" i="2" a="1"/>
  <c r="W42" i="2"/>
  <c r="W23" i="2" a="1"/>
  <c r="W23" i="2"/>
  <c r="W53" i="2" a="1"/>
  <c r="W53" i="2"/>
  <c r="W9" i="2" a="1"/>
  <c r="W9" i="2"/>
  <c r="W14" i="2" a="1"/>
  <c r="W14" i="2"/>
  <c r="W12" i="2" a="1"/>
  <c r="W12" i="2"/>
  <c r="W60" i="2" a="1"/>
  <c r="W60" i="2"/>
  <c r="W51" i="2" a="1"/>
  <c r="W51" i="2"/>
  <c r="W30" i="2" a="1"/>
  <c r="W30" i="2"/>
  <c r="W18" i="2" a="1"/>
  <c r="W18" i="2"/>
  <c r="W44" i="2" a="1"/>
  <c r="W44" i="2"/>
  <c r="W32" i="2" a="1"/>
  <c r="W32" i="2"/>
  <c r="W39" i="2" a="1"/>
  <c r="W39" i="2"/>
  <c r="W49" i="2" a="1"/>
  <c r="W49" i="2"/>
  <c r="W19" i="2" a="1"/>
  <c r="W19" i="2"/>
  <c r="W36" i="2" a="1"/>
  <c r="W36" i="2"/>
  <c r="W58" i="2" a="1"/>
  <c r="W58" i="2"/>
  <c r="W55" i="2" a="1"/>
  <c r="W55" i="2"/>
  <c r="W28" i="2" a="1"/>
  <c r="W28" i="2"/>
  <c r="W33" i="2" a="1"/>
  <c r="W33" i="2"/>
  <c r="W41" i="2" a="1"/>
  <c r="W41" i="2"/>
  <c r="W21" i="2" a="1"/>
  <c r="W21" i="2"/>
  <c r="BM2" i="2" a="1"/>
  <c r="BM2" i="2"/>
  <c r="AY20" i="2" a="1"/>
  <c r="AY20" i="2"/>
  <c r="U37" i="2" a="1"/>
  <c r="U37" i="2"/>
  <c r="AY41" i="2" a="1"/>
  <c r="AY41" i="2"/>
  <c r="C38" i="2" a="1"/>
  <c r="C38" i="2"/>
  <c r="AY37" i="2" a="1"/>
  <c r="AY37" i="2"/>
  <c r="U20" i="2" a="1"/>
  <c r="U20" i="2"/>
  <c r="AZ35" i="2" a="1"/>
  <c r="AZ35" i="2"/>
  <c r="B20" i="2" a="1"/>
  <c r="B20" i="2"/>
  <c r="AF13" i="2" a="1"/>
  <c r="AF13" i="2"/>
  <c r="AY27" i="2" a="1"/>
  <c r="AY27" i="2"/>
  <c r="C41" i="2" a="1"/>
  <c r="C41" i="2"/>
  <c r="AF27" i="2" a="1"/>
  <c r="AF27" i="2"/>
  <c r="C37" i="2" a="1"/>
  <c r="C37" i="2"/>
  <c r="C29" i="2" a="1"/>
  <c r="C29" i="2"/>
  <c r="AY29" i="2" a="1"/>
  <c r="AY29" i="2"/>
  <c r="AY38" i="2" a="1"/>
  <c r="AY38" i="2"/>
  <c r="AY36" i="2" a="1"/>
  <c r="AY36" i="2"/>
  <c r="B35" i="2" a="1"/>
  <c r="B35" i="2"/>
  <c r="U35" i="2" a="1"/>
  <c r="U35" i="2"/>
  <c r="C27" i="2" a="1"/>
  <c r="C27" i="2"/>
  <c r="AF20" i="2" a="1"/>
  <c r="AF20" i="2"/>
  <c r="B38" i="2" a="1"/>
  <c r="B38" i="2"/>
  <c r="AF38" i="2" a="1"/>
  <c r="AF38" i="2"/>
  <c r="AY35" i="2" a="1"/>
  <c r="AY35" i="2"/>
  <c r="AZ8" i="2" a="1"/>
  <c r="AZ8" i="2"/>
  <c r="U29" i="2" a="1"/>
  <c r="U29" i="2"/>
  <c r="C35" i="2" a="1"/>
  <c r="C35" i="2"/>
  <c r="B36" i="2" a="1"/>
  <c r="B36" i="2"/>
  <c r="B8" i="2" a="1"/>
  <c r="B8" i="2"/>
  <c r="AF8" i="2" a="1"/>
  <c r="AF8" i="2"/>
  <c r="U8" i="2" a="1"/>
  <c r="U8" i="2"/>
  <c r="U13" i="2" a="1"/>
  <c r="U13" i="2"/>
  <c r="AZ41" i="2" a="1"/>
  <c r="AZ41" i="2"/>
  <c r="C36" i="2" a="1"/>
  <c r="C36" i="2"/>
  <c r="B37" i="2" a="1"/>
  <c r="B37" i="2"/>
  <c r="U41" i="2" a="1"/>
  <c r="U41" i="2"/>
  <c r="U36" i="2" a="1"/>
  <c r="U36" i="2"/>
  <c r="B13" i="2" a="1"/>
  <c r="B13" i="2"/>
  <c r="AF29" i="2" a="1"/>
  <c r="AF29" i="2"/>
  <c r="AZ29" i="2" a="1"/>
  <c r="AZ29" i="2"/>
  <c r="C13" i="2" a="1"/>
  <c r="C13" i="2"/>
  <c r="C20" i="2" a="1"/>
  <c r="C20" i="2"/>
  <c r="AZ38" i="2" a="1"/>
  <c r="AZ38" i="2"/>
  <c r="AZ37" i="2" a="1"/>
  <c r="AZ37" i="2"/>
  <c r="AF36" i="2" a="1"/>
  <c r="AF36" i="2"/>
  <c r="AF41" i="2" a="1"/>
  <c r="AF41" i="2"/>
  <c r="AZ13" i="2" a="1"/>
  <c r="AZ13" i="2"/>
  <c r="C8" i="2" a="1"/>
  <c r="C8" i="2"/>
  <c r="U27" i="2" a="1"/>
  <c r="U27" i="2"/>
  <c r="B27" i="2" a="1"/>
  <c r="B27" i="2"/>
  <c r="AY8" i="2" a="1"/>
  <c r="AY8" i="2"/>
  <c r="B41" i="2" a="1"/>
  <c r="B41" i="2"/>
  <c r="AZ20" i="2" a="1"/>
  <c r="AZ20" i="2"/>
  <c r="AZ27" i="2" a="1"/>
  <c r="AZ27" i="2"/>
  <c r="AZ36" i="2" a="1"/>
  <c r="AZ36" i="2"/>
  <c r="AY13" i="2" a="1"/>
  <c r="AY13" i="2"/>
  <c r="U38" i="2" a="1"/>
  <c r="U38" i="2"/>
  <c r="AF35" i="2" a="1"/>
  <c r="AF35" i="2"/>
  <c r="AF37" i="2" a="1"/>
  <c r="AF37" i="2"/>
  <c r="B29" i="2" a="1"/>
  <c r="B29" i="2"/>
  <c r="AF16" i="2" a="1"/>
  <c r="AF16" i="2"/>
  <c r="AY15" i="2" a="1"/>
  <c r="AY15" i="2"/>
  <c r="AF51" i="2" a="1"/>
  <c r="AF51" i="2"/>
  <c r="C60" i="2" a="1"/>
  <c r="C60" i="2"/>
  <c r="AY32" i="2" a="1"/>
  <c r="AY32" i="2"/>
  <c r="AY56" i="2" a="1"/>
  <c r="AY56" i="2"/>
  <c r="U59" i="2" a="1"/>
  <c r="U59" i="2"/>
  <c r="U60" i="2" a="1"/>
  <c r="U60" i="2"/>
  <c r="AZ59" i="2" a="1"/>
  <c r="AZ59" i="2"/>
  <c r="U43" i="2" a="1"/>
  <c r="U43" i="2"/>
  <c r="AF59" i="2" a="1"/>
  <c r="AF59" i="2"/>
  <c r="C10" i="2" a="1"/>
  <c r="C10" i="2"/>
  <c r="AZ15" i="2" a="1"/>
  <c r="AZ15" i="2"/>
  <c r="AZ56" i="2" a="1"/>
  <c r="AZ56" i="2"/>
  <c r="AF60" i="2" a="1"/>
  <c r="AF60" i="2"/>
  <c r="U15" i="2" a="1"/>
  <c r="U15" i="2"/>
  <c r="C51" i="2" a="1"/>
  <c r="C51" i="2"/>
  <c r="B56" i="2" a="1"/>
  <c r="B56" i="2"/>
  <c r="B60" i="2" a="1"/>
  <c r="B60" i="2"/>
  <c r="C45" i="2" a="1"/>
  <c r="C45" i="2"/>
  <c r="AF15" i="2" a="1"/>
  <c r="AF15" i="2"/>
  <c r="B45" i="2" a="1"/>
  <c r="B45" i="2"/>
  <c r="C32" i="2" a="1"/>
  <c r="C32" i="2"/>
  <c r="B32" i="2" a="1"/>
  <c r="B32" i="2"/>
  <c r="AF10" i="2" a="1"/>
  <c r="AF10" i="2"/>
  <c r="B51" i="2" a="1"/>
  <c r="B51" i="2"/>
  <c r="B16" i="2" a="1"/>
  <c r="B16" i="2"/>
  <c r="AY10" i="2" a="1"/>
  <c r="AY10" i="2"/>
  <c r="AY59" i="2" a="1"/>
  <c r="AY59" i="2"/>
  <c r="C43" i="2" a="1"/>
  <c r="C43" i="2"/>
  <c r="C59" i="2" a="1"/>
  <c r="C59" i="2"/>
  <c r="AZ16" i="2" a="1"/>
  <c r="AZ16" i="2"/>
  <c r="B10" i="2" a="1"/>
  <c r="B10" i="2"/>
  <c r="AF45" i="2" a="1"/>
  <c r="AF45" i="2"/>
  <c r="AZ45" i="2" a="1"/>
  <c r="AZ45" i="2"/>
  <c r="U45" i="2" a="1"/>
  <c r="U45" i="2"/>
  <c r="U16" i="2" a="1"/>
  <c r="U16" i="2"/>
  <c r="AY51" i="2" a="1"/>
  <c r="AY51" i="2"/>
  <c r="U32" i="2" a="1"/>
  <c r="U32" i="2"/>
  <c r="AZ10" i="2" a="1"/>
  <c r="AZ10" i="2"/>
  <c r="C56" i="2" a="1"/>
  <c r="C56" i="2"/>
  <c r="B43" i="2" a="1"/>
  <c r="B43" i="2"/>
  <c r="AY60" i="2" a="1"/>
  <c r="AY60" i="2"/>
  <c r="B15" i="2" a="1"/>
  <c r="B15" i="2"/>
  <c r="AF43" i="2" a="1"/>
  <c r="AF43" i="2"/>
  <c r="U51" i="2" a="1"/>
  <c r="U51" i="2"/>
  <c r="AY43" i="2" a="1"/>
  <c r="AY43" i="2"/>
  <c r="AF56" i="2" a="1"/>
  <c r="AF56" i="2"/>
  <c r="AZ60" i="2" a="1"/>
  <c r="AZ60" i="2"/>
  <c r="AZ43" i="2" a="1"/>
  <c r="AZ43" i="2"/>
  <c r="C16" i="2" a="1"/>
  <c r="C16" i="2"/>
  <c r="C15" i="2" a="1"/>
  <c r="C15" i="2"/>
  <c r="AY45" i="2" a="1"/>
  <c r="AY45" i="2"/>
  <c r="B59" i="2" a="1"/>
  <c r="B59" i="2"/>
  <c r="AZ51" i="2" a="1"/>
  <c r="AZ51" i="2"/>
  <c r="U10" i="2" a="1"/>
  <c r="U10" i="2"/>
  <c r="AF32" i="2" a="1"/>
  <c r="AF32" i="2"/>
  <c r="AY16" i="2" a="1"/>
  <c r="AY16" i="2"/>
  <c r="AZ32" i="2" a="1"/>
  <c r="AZ32" i="2"/>
  <c r="U56" i="2" a="1"/>
  <c r="U56" i="2"/>
  <c r="C26" i="2" a="1"/>
  <c r="C26" i="2"/>
  <c r="U9" i="2" a="1"/>
  <c r="U9" i="2"/>
  <c r="AY23" i="2" a="1"/>
  <c r="AY23" i="2"/>
  <c r="AZ21" i="2" a="1"/>
  <c r="AZ21" i="2"/>
  <c r="B23" i="2" a="1"/>
  <c r="B23" i="2"/>
  <c r="AY30" i="2" a="1"/>
  <c r="AY30" i="2"/>
  <c r="B26" i="2" a="1"/>
  <c r="B26" i="2"/>
  <c r="B30" i="2" a="1"/>
  <c r="B30" i="2"/>
  <c r="B48" i="2" a="1"/>
  <c r="B48" i="2"/>
  <c r="C14" i="2" a="1"/>
  <c r="C14" i="2"/>
  <c r="AZ9" i="2" a="1"/>
  <c r="AZ9" i="2"/>
  <c r="AZ50" i="2" a="1"/>
  <c r="AZ50" i="2"/>
  <c r="AY14" i="2" a="1"/>
  <c r="AY14" i="2"/>
  <c r="AY54" i="2" a="1"/>
  <c r="AY54" i="2"/>
  <c r="U18" i="2" a="1"/>
  <c r="U18" i="2"/>
  <c r="AY50" i="2" a="1"/>
  <c r="AY50" i="2"/>
  <c r="B21" i="2" a="1"/>
  <c r="B21" i="2"/>
  <c r="C48" i="2" a="1"/>
  <c r="C48" i="2"/>
  <c r="C9" i="2" a="1"/>
  <c r="C9" i="2"/>
  <c r="C23" i="2" a="1"/>
  <c r="C23" i="2"/>
  <c r="AZ23" i="2" a="1"/>
  <c r="AZ23" i="2"/>
  <c r="B54" i="2" a="1"/>
  <c r="B54" i="2"/>
  <c r="AZ30" i="2" a="1"/>
  <c r="AZ30" i="2"/>
  <c r="U54" i="2" a="1"/>
  <c r="U54" i="2"/>
  <c r="B18" i="2" a="1"/>
  <c r="B18" i="2"/>
  <c r="AY26" i="2" a="1"/>
  <c r="AY26" i="2"/>
  <c r="U30" i="2" a="1"/>
  <c r="U30" i="2"/>
  <c r="AZ14" i="2" a="1"/>
  <c r="AZ14" i="2"/>
  <c r="AZ48" i="2" a="1"/>
  <c r="AZ48" i="2"/>
  <c r="AY21" i="2" a="1"/>
  <c r="AY21" i="2"/>
  <c r="C50" i="2" a="1"/>
  <c r="C50" i="2"/>
  <c r="U26" i="2" a="1"/>
  <c r="U26" i="2"/>
  <c r="AY9" i="2" a="1"/>
  <c r="AY9" i="2"/>
  <c r="AY18" i="2" a="1"/>
  <c r="AY18" i="2"/>
  <c r="B9" i="2" a="1"/>
  <c r="B9" i="2"/>
  <c r="AZ54" i="2" a="1"/>
  <c r="AZ54" i="2"/>
  <c r="C18" i="2" a="1"/>
  <c r="C18" i="2"/>
  <c r="U21" i="2" a="1"/>
  <c r="U21" i="2"/>
  <c r="U23" i="2" a="1"/>
  <c r="U23" i="2"/>
  <c r="B50" i="2" a="1"/>
  <c r="B50" i="2"/>
  <c r="U48" i="2" a="1"/>
  <c r="U48" i="2"/>
  <c r="AZ26" i="2" a="1"/>
  <c r="AZ26" i="2"/>
  <c r="AY48" i="2" a="1"/>
  <c r="AY48" i="2"/>
  <c r="U50" i="2" a="1"/>
  <c r="U50" i="2"/>
  <c r="U14" i="2" a="1"/>
  <c r="U14" i="2"/>
  <c r="B14" i="2" a="1"/>
  <c r="B14" i="2"/>
  <c r="C21" i="2" a="1"/>
  <c r="C21" i="2"/>
  <c r="C30" i="2" a="1"/>
  <c r="C30" i="2"/>
  <c r="C54" i="2" a="1"/>
  <c r="C54" i="2"/>
  <c r="AZ18" i="2" a="1"/>
  <c r="AZ18" i="2"/>
  <c r="C24" i="2" a="1"/>
  <c r="C24" i="2"/>
  <c r="AZ11" i="2" a="1"/>
  <c r="AZ11" i="2"/>
  <c r="AZ47" i="2" a="1"/>
  <c r="AZ47" i="2"/>
  <c r="B52" i="2" a="1"/>
  <c r="B52" i="2"/>
  <c r="U25" i="2" a="1"/>
  <c r="U25" i="2"/>
  <c r="C12" i="2" a="1"/>
  <c r="C12" i="2"/>
  <c r="U33" i="2" a="1"/>
  <c r="U33" i="2"/>
  <c r="AZ34" i="2" a="1"/>
  <c r="AZ34" i="2"/>
  <c r="C57" i="2" a="1"/>
  <c r="C57" i="2"/>
  <c r="B58" i="2" a="1"/>
  <c r="B58" i="2"/>
  <c r="AY33" i="2" a="1"/>
  <c r="AY33" i="2"/>
  <c r="AZ22" i="2" a="1"/>
  <c r="AZ22" i="2"/>
  <c r="AZ55" i="2" a="1"/>
  <c r="AZ55" i="2"/>
  <c r="AZ42" i="2" a="1"/>
  <c r="AZ42" i="2"/>
  <c r="C58" i="2" a="1"/>
  <c r="C58" i="2"/>
  <c r="AZ40" i="2" a="1"/>
  <c r="AZ40" i="2"/>
  <c r="C22" i="2" a="1"/>
  <c r="C22" i="2"/>
  <c r="B39" i="2" a="1"/>
  <c r="B39" i="2"/>
  <c r="C25" i="2" a="1"/>
  <c r="C25" i="2"/>
  <c r="B25" i="2" a="1"/>
  <c r="B25" i="2"/>
  <c r="AZ24" i="2" a="1"/>
  <c r="AZ24" i="2"/>
  <c r="C44" i="2" a="1"/>
  <c r="C44" i="2"/>
  <c r="AY22" i="2" a="1"/>
  <c r="AY22" i="2"/>
  <c r="C53" i="2" a="1"/>
  <c r="C53" i="2"/>
  <c r="U49" i="2" a="1"/>
  <c r="U49" i="2"/>
  <c r="U22" i="2" a="1"/>
  <c r="U22" i="2"/>
  <c r="AZ33" i="2" a="1"/>
  <c r="AZ33" i="2"/>
  <c r="B24" i="2" a="1"/>
  <c r="B24" i="2"/>
  <c r="B46" i="2" a="1"/>
  <c r="B46" i="2"/>
  <c r="AZ52" i="2" a="1"/>
  <c r="AZ52" i="2"/>
  <c r="AY46" i="2" a="1"/>
  <c r="AY46" i="2"/>
  <c r="AZ39" i="2" a="1"/>
  <c r="AZ39" i="2"/>
  <c r="B57" i="2" a="1"/>
  <c r="B57" i="2"/>
  <c r="B44" i="2" a="1"/>
  <c r="B44" i="2"/>
  <c r="B53" i="2" a="1"/>
  <c r="B53" i="2"/>
  <c r="U39" i="2" a="1"/>
  <c r="U39" i="2"/>
  <c r="AY47" i="2" a="1"/>
  <c r="AY47" i="2"/>
  <c r="B11" i="2" a="1"/>
  <c r="B11" i="2"/>
  <c r="B40" i="2" a="1"/>
  <c r="B40" i="2"/>
  <c r="AZ57" i="2" a="1"/>
  <c r="AZ57" i="2"/>
  <c r="U40" i="2" a="1"/>
  <c r="U40" i="2"/>
  <c r="U55" i="2" a="1"/>
  <c r="U55" i="2"/>
  <c r="U11" i="2" a="1"/>
  <c r="U11" i="2"/>
  <c r="C42" i="2" a="1"/>
  <c r="C42" i="2"/>
  <c r="B31" i="2" a="1"/>
  <c r="B31" i="2"/>
  <c r="U31" i="2" a="1"/>
  <c r="U31" i="2"/>
  <c r="AY42" i="2" a="1"/>
  <c r="AY42" i="2"/>
  <c r="AZ58" i="2" a="1"/>
  <c r="AZ58" i="2"/>
  <c r="U42" i="2" a="1"/>
  <c r="U42" i="2"/>
  <c r="C11" i="2" a="1"/>
  <c r="C11" i="2"/>
  <c r="C40" i="2" a="1"/>
  <c r="C40" i="2"/>
  <c r="AY24" i="2" a="1"/>
  <c r="AY24" i="2"/>
  <c r="U24" i="2" a="1"/>
  <c r="U24" i="2"/>
  <c r="U47" i="2" a="1"/>
  <c r="U47" i="2"/>
  <c r="AZ44" i="2" a="1"/>
  <c r="AZ44" i="2"/>
  <c r="AZ25" i="2" a="1"/>
  <c r="AZ25" i="2"/>
  <c r="AY55" i="2" a="1"/>
  <c r="AY55" i="2"/>
  <c r="AZ31" i="2" a="1"/>
  <c r="AZ31" i="2"/>
  <c r="B12" i="2" a="1"/>
  <c r="B12" i="2"/>
  <c r="AY39" i="2" a="1"/>
  <c r="AY39" i="2"/>
  <c r="C39" i="2" a="1"/>
  <c r="C39" i="2"/>
  <c r="U12" i="2" a="1"/>
  <c r="U12" i="2"/>
  <c r="C55" i="2" a="1"/>
  <c r="C55" i="2"/>
  <c r="B42" i="2" a="1"/>
  <c r="B42" i="2"/>
  <c r="AZ12" i="2" a="1"/>
  <c r="AZ12" i="2"/>
  <c r="AY34" i="2" a="1"/>
  <c r="AY34" i="2"/>
  <c r="AY57" i="2" a="1"/>
  <c r="AY57" i="2"/>
  <c r="C34" i="2" a="1"/>
  <c r="C34" i="2"/>
  <c r="B47" i="2" a="1"/>
  <c r="B47" i="2"/>
  <c r="C52" i="2" a="1"/>
  <c r="C52" i="2"/>
  <c r="AY58" i="2" a="1"/>
  <c r="AY58" i="2"/>
  <c r="C33" i="2" a="1"/>
  <c r="C33" i="2"/>
  <c r="AZ49" i="2" a="1"/>
  <c r="AZ49" i="2"/>
  <c r="AY53" i="2" a="1"/>
  <c r="AY53" i="2"/>
  <c r="C31" i="2" a="1"/>
  <c r="C31" i="2"/>
  <c r="C46" i="2" a="1"/>
  <c r="C46" i="2"/>
  <c r="AZ46" i="2" a="1"/>
  <c r="AZ46" i="2"/>
  <c r="C47" i="2" a="1"/>
  <c r="C47" i="2"/>
  <c r="U34" i="2" a="1"/>
  <c r="U34" i="2"/>
  <c r="U57" i="2" a="1"/>
  <c r="U57" i="2"/>
  <c r="U53" i="2" a="1"/>
  <c r="U53" i="2"/>
  <c r="U58" i="2" a="1"/>
  <c r="U58" i="2"/>
  <c r="AY12" i="2" a="1"/>
  <c r="AY12" i="2"/>
  <c r="AZ53" i="2" a="1"/>
  <c r="AZ53" i="2"/>
  <c r="AY25" i="2" a="1"/>
  <c r="AY25" i="2"/>
  <c r="B34" i="2" a="1"/>
  <c r="B34" i="2"/>
  <c r="U52" i="2" a="1"/>
  <c r="U52" i="2"/>
  <c r="AY49" i="2" a="1"/>
  <c r="AY49" i="2"/>
  <c r="C49" i="2" a="1"/>
  <c r="C49" i="2"/>
  <c r="U44" i="2" a="1"/>
  <c r="U44" i="2"/>
  <c r="B22" i="2" a="1"/>
  <c r="B22" i="2"/>
  <c r="AY44" i="2" a="1"/>
  <c r="AY44" i="2"/>
  <c r="AY40" i="2" a="1"/>
  <c r="AY40" i="2"/>
  <c r="AY52" i="2" a="1"/>
  <c r="AY52" i="2"/>
  <c r="B33" i="2" a="1"/>
  <c r="B33" i="2"/>
  <c r="AY11" i="2" a="1"/>
  <c r="AY11" i="2"/>
  <c r="B49" i="2" a="1"/>
  <c r="B49" i="2"/>
  <c r="U46" i="2" a="1"/>
  <c r="U46" i="2"/>
  <c r="B55" i="2" a="1"/>
  <c r="B55" i="2"/>
  <c r="AY31" i="2" a="1"/>
  <c r="AY31" i="2"/>
  <c r="K52" i="2" a="1"/>
  <c r="K52" i="2"/>
  <c r="AB42" i="2" a="1"/>
  <c r="AB42" i="2"/>
  <c r="AF42" i="2" a="1"/>
  <c r="AB56" i="2" a="1"/>
  <c r="AF42" i="2" l="1"/>
  <c r="AB56" i="2"/>
  <c r="K32" i="2" a="1"/>
  <c r="K32" i="2"/>
  <c r="AB33" i="2" a="1"/>
  <c r="AB33" i="2"/>
  <c r="AF33" i="2" a="1"/>
  <c r="K37" i="2" a="1"/>
  <c r="AF33" i="2" l="1"/>
  <c r="K37" i="2"/>
  <c r="L39" i="2" a="1"/>
  <c r="L39" i="2"/>
  <c r="AB32" i="2" a="1"/>
  <c r="AB32" i="2"/>
  <c r="K24" i="2" a="1"/>
  <c r="K24" i="2"/>
  <c r="L24" i="2" a="1"/>
  <c r="L24" i="2"/>
  <c r="L32" i="2" a="1"/>
  <c r="L32" i="2"/>
  <c r="AB37" i="2" a="1"/>
  <c r="AB37" i="2"/>
  <c r="AB53" i="2" a="1"/>
  <c r="AB53" i="2"/>
  <c r="AF53" i="2" a="1"/>
  <c r="K45" i="2" a="1"/>
  <c r="AF53" i="2" l="1"/>
  <c r="K45" i="2"/>
  <c r="L33" i="2" a="1"/>
  <c r="L33" i="2"/>
  <c r="AB57" i="2" a="1"/>
  <c r="AB57" i="2"/>
  <c r="AF57" i="2" a="1"/>
  <c r="L22" i="2" a="1"/>
  <c r="AF57" i="2" l="1"/>
  <c r="L22" i="2"/>
  <c r="L21" i="2" a="1"/>
  <c r="L21" i="2"/>
  <c r="K20" i="2" a="1"/>
  <c r="K20" i="2"/>
  <c r="AB22" i="2" a="1"/>
  <c r="AB22" i="2"/>
  <c r="AF22" i="2" a="1"/>
  <c r="AB21" i="2" a="1"/>
  <c r="AF22" i="2" l="1"/>
  <c r="AB21" i="2"/>
  <c r="AF21" i="2" a="1"/>
  <c r="L50" i="2" a="1"/>
  <c r="AF21" i="2" l="1"/>
  <c r="L50" i="2"/>
  <c r="L27" i="2" a="1"/>
  <c r="L27" i="2"/>
  <c r="K38" i="2" a="1"/>
  <c r="K38" i="2"/>
  <c r="AB19" i="2" a="1"/>
  <c r="AB19" i="2"/>
  <c r="AB55" i="2" a="1"/>
  <c r="AB55" i="2"/>
  <c r="AF55" i="2" a="1"/>
  <c r="K56" i="2" a="1"/>
  <c r="AF55" i="2" l="1"/>
  <c r="K56" i="2"/>
  <c r="L31" i="2" a="1"/>
  <c r="L31" i="2"/>
  <c r="AB52" i="2" a="1"/>
  <c r="AB52" i="2"/>
  <c r="AF52" i="2" a="1"/>
  <c r="K26" i="2" a="1"/>
  <c r="AF52" i="2" l="1"/>
  <c r="K26" i="2"/>
  <c r="K31" i="2" a="1"/>
  <c r="K31" i="2"/>
  <c r="L30" i="2" a="1"/>
  <c r="L30" i="2"/>
  <c r="L28" i="2" a="1"/>
  <c r="L28" i="2"/>
  <c r="L38" i="2" a="1"/>
  <c r="L38" i="2"/>
  <c r="AB40" i="2" a="1"/>
  <c r="AB40" i="2"/>
  <c r="AF40" i="2" a="1"/>
  <c r="L26" i="2" a="1"/>
  <c r="AF40" i="2" l="1"/>
  <c r="L26" i="2"/>
  <c r="L52" i="2" a="1"/>
  <c r="L52" i="2"/>
  <c r="AB27" i="2" a="1"/>
  <c r="AB27" i="2"/>
  <c r="K10" i="2" a="1"/>
  <c r="K10" i="2"/>
  <c r="L60" i="2" a="1"/>
  <c r="L60" i="2"/>
  <c r="AB31" i="2" a="1"/>
  <c r="AB31" i="2"/>
  <c r="AF31" i="2" a="1"/>
  <c r="K13" i="2" a="1"/>
  <c r="AF31" i="2" l="1"/>
  <c r="K13" i="2"/>
  <c r="K42" i="2" a="1"/>
  <c r="K42" i="2"/>
  <c r="K27" i="2" a="1"/>
  <c r="K27" i="2"/>
  <c r="L53" i="2" a="1"/>
  <c r="L53" i="2"/>
  <c r="L51" i="2" a="1"/>
  <c r="L51" i="2"/>
  <c r="AB24" i="2" a="1"/>
  <c r="AB24" i="2"/>
  <c r="AF24" i="2" a="1"/>
  <c r="AB38" i="2" a="1"/>
  <c r="AF24" i="2" l="1"/>
  <c r="AB38" i="2"/>
  <c r="L56" i="2" a="1"/>
  <c r="L56" i="2"/>
  <c r="L42" i="2" a="1"/>
  <c r="L42" i="2"/>
  <c r="L41" i="2" a="1"/>
  <c r="L41" i="2"/>
  <c r="L37" i="2" a="1"/>
  <c r="L37" i="2"/>
  <c r="AB25" i="2" a="1"/>
  <c r="AB25" i="2"/>
  <c r="AF25" i="2" a="1"/>
  <c r="AB13" i="2" a="1"/>
  <c r="AF25" i="2" l="1"/>
  <c r="AB13" i="2"/>
  <c r="K50" i="2" a="1"/>
  <c r="K50" i="2"/>
  <c r="AB39" i="2" a="1"/>
  <c r="AB39" i="2"/>
  <c r="AF39" i="2" a="1"/>
  <c r="AB10" i="2" a="1"/>
  <c r="AF39" i="2" l="1"/>
  <c r="AB10" i="2"/>
  <c r="AB41" i="2" a="1"/>
  <c r="AB41" i="2"/>
  <c r="AB43" i="2" a="1"/>
  <c r="AB43" i="2"/>
  <c r="K60" i="2" a="1"/>
  <c r="K60" i="2"/>
  <c r="K30" i="2" a="1"/>
  <c r="K30" i="2"/>
  <c r="K28" i="2" a="1"/>
  <c r="K28" i="2"/>
  <c r="K25" i="2" a="1"/>
  <c r="K25" i="2"/>
  <c r="K57" i="2" a="1"/>
  <c r="K57" i="2"/>
  <c r="K43" i="2" a="1"/>
  <c r="K43" i="2"/>
  <c r="K40" i="2" a="1"/>
  <c r="K40" i="2"/>
  <c r="AB45" i="2" a="1"/>
  <c r="AB45" i="2"/>
  <c r="L19" i="2" a="1"/>
  <c r="L19" i="2"/>
  <c r="L55" i="2" a="1"/>
  <c r="L55" i="2"/>
  <c r="K51" i="2" a="1"/>
  <c r="K51" i="2"/>
  <c r="L10" i="2" a="1"/>
  <c r="L10" i="2"/>
  <c r="L45" i="2" a="1"/>
  <c r="L45" i="2"/>
  <c r="AB26" i="2" a="1"/>
  <c r="AB26" i="2"/>
  <c r="AF26" i="2" a="1"/>
  <c r="L57" i="2" a="1"/>
  <c r="AF26" i="2" l="1"/>
  <c r="L57" i="2"/>
  <c r="L13" i="2" a="1"/>
  <c r="L13" i="2"/>
  <c r="AB50" i="2" a="1"/>
  <c r="AB50" i="2"/>
  <c r="AF50" i="2" a="1"/>
  <c r="AB51" i="2" a="1"/>
  <c r="AF50" i="2" l="1"/>
  <c r="AB51" i="2"/>
  <c r="K39" i="2" a="1"/>
  <c r="K39" i="2"/>
  <c r="K19" i="2" a="1"/>
  <c r="K19" i="2"/>
  <c r="AB60" i="2" a="1"/>
  <c r="AB60" i="2"/>
  <c r="AB20" i="2" a="1"/>
  <c r="AB20" i="2"/>
  <c r="AB30" i="2" a="1"/>
  <c r="AB30" i="2"/>
  <c r="AF30" i="2" a="1"/>
  <c r="AB28" i="2" a="1"/>
  <c r="AF30" i="2" l="1"/>
  <c r="AB28" i="2"/>
  <c r="K33" i="2" a="1"/>
  <c r="K33" i="2"/>
  <c r="K41" i="2" a="1"/>
  <c r="K41" i="2"/>
  <c r="K22" i="2" a="1"/>
  <c r="K22" i="2"/>
  <c r="K21" i="2" a="1"/>
  <c r="K21" i="2"/>
  <c r="L40" i="2" a="1"/>
  <c r="L40" i="2"/>
  <c r="L25" i="2" a="1"/>
  <c r="L25" i="2"/>
  <c r="K53" i="2" a="1"/>
  <c r="K53" i="2"/>
  <c r="L43" i="2" a="1"/>
  <c r="L43" i="2"/>
  <c r="K55" i="2" a="1"/>
  <c r="K55" i="2"/>
  <c r="L20" i="2" a="1"/>
  <c r="L20" i="2"/>
  <c r="AB49" i="2" a="1"/>
  <c r="AB49" i="2"/>
  <c r="AF49" i="2" a="1"/>
  <c r="K9" i="2" a="1"/>
  <c r="AF49" i="2" l="1"/>
  <c r="K9" i="2"/>
  <c r="L18" i="2" a="1"/>
  <c r="L18" i="2"/>
  <c r="AB8" i="2" a="1"/>
  <c r="AB8" i="2"/>
  <c r="L46" i="2" a="1"/>
  <c r="L46" i="2"/>
  <c r="L14" i="2" a="1"/>
  <c r="L14" i="2"/>
  <c r="L29" i="2" a="1"/>
  <c r="L29" i="2"/>
  <c r="K29" i="2" a="1"/>
  <c r="K29" i="2"/>
  <c r="AB14" i="2" a="1"/>
  <c r="AB14" i="2"/>
  <c r="AF14" i="2" a="1"/>
  <c r="K18" i="2" a="1"/>
  <c r="AF14" i="2" l="1"/>
  <c r="K18" i="2"/>
  <c r="L47" i="2" a="1"/>
  <c r="L47" i="2"/>
  <c r="K46" i="2" a="1"/>
  <c r="K46" i="2"/>
  <c r="L23" i="2" a="1"/>
  <c r="L23" i="2"/>
  <c r="K49" i="2" a="1"/>
  <c r="K49" i="2"/>
  <c r="K23" i="2" a="1"/>
  <c r="K23" i="2"/>
  <c r="AB54" i="2" a="1"/>
  <c r="AB54" i="2"/>
  <c r="AF54" i="2" a="1"/>
  <c r="K47" i="2" a="1"/>
  <c r="AF54" i="2" l="1"/>
  <c r="K47" i="2"/>
  <c r="K8" i="2" a="1"/>
  <c r="K8" i="2"/>
  <c r="AB9" i="2" a="1"/>
  <c r="AB9" i="2"/>
  <c r="AF9" i="2" a="1"/>
  <c r="AB18" i="2" a="1"/>
  <c r="AF9" i="2" l="1"/>
  <c r="AB18" i="2"/>
  <c r="AF18" i="2" a="1"/>
  <c r="L8" i="2" a="1"/>
  <c r="AF18" i="2" l="1"/>
  <c r="L8" i="2"/>
  <c r="AB23" i="2" a="1"/>
  <c r="AB23" i="2"/>
  <c r="AF23" i="2" a="1"/>
  <c r="AB29" i="2" a="1"/>
  <c r="AF23" i="2" l="1"/>
  <c r="AB29" i="2"/>
  <c r="L54" i="2" a="1"/>
  <c r="L54" i="2"/>
  <c r="K54" i="2" a="1"/>
  <c r="K54" i="2"/>
  <c r="AB47" i="2" a="1"/>
  <c r="AB47" i="2"/>
  <c r="AF47" i="2" a="1"/>
  <c r="L49" i="2" a="1"/>
  <c r="AF47" i="2" l="1"/>
  <c r="L49" i="2"/>
  <c r="AB46" i="2" a="1"/>
  <c r="AB46" i="2"/>
  <c r="AF46" i="2" a="1"/>
  <c r="L9" i="2" a="1"/>
  <c r="AF46" i="2" l="1"/>
  <c r="L9" i="2"/>
  <c r="K14" i="2" a="1"/>
  <c r="K14" i="2"/>
  <c r="K15" i="2" a="1"/>
  <c r="K15" i="2"/>
  <c r="AB59" i="2" a="1"/>
  <c r="AB59" i="2"/>
  <c r="L12" i="2" a="1"/>
  <c r="L12" i="2"/>
  <c r="L11" i="2" a="1"/>
  <c r="L11" i="2"/>
  <c r="L58" i="2" a="1"/>
  <c r="L58" i="2"/>
  <c r="L36" i="2" a="1"/>
  <c r="L36" i="2"/>
  <c r="AB44" i="2" a="1"/>
  <c r="AB44" i="2"/>
  <c r="AF44" i="2" a="1"/>
  <c r="L34" i="2" a="1"/>
  <c r="AF44" i="2" l="1"/>
  <c r="L34" i="2"/>
  <c r="AB34" i="2" a="1"/>
  <c r="AB34" i="2"/>
  <c r="AF34" i="2" a="1"/>
  <c r="L44" i="2" a="1"/>
  <c r="AF34" i="2" l="1"/>
  <c r="L44" i="2"/>
  <c r="K35" i="2" a="1"/>
  <c r="K35" i="2"/>
  <c r="L59" i="2" a="1"/>
  <c r="L59" i="2"/>
  <c r="AB12" i="2" a="1"/>
  <c r="AB12" i="2"/>
  <c r="AF12" i="2" a="1"/>
  <c r="AB11" i="2" a="1"/>
  <c r="AF12" i="2" l="1"/>
  <c r="AB11" i="2"/>
  <c r="AF11" i="2" a="1"/>
  <c r="AB17" i="2" a="1"/>
  <c r="AF11" i="2" l="1"/>
  <c r="AB17" i="2"/>
  <c r="AB16" i="2" a="1"/>
  <c r="AB16" i="2"/>
  <c r="L17" i="2" a="1"/>
  <c r="L17" i="2"/>
  <c r="L16" i="2" a="1"/>
  <c r="L16" i="2"/>
  <c r="L15" i="2" a="1"/>
  <c r="L15" i="2"/>
  <c r="K58" i="2" a="1"/>
  <c r="K58" i="2"/>
  <c r="L35" i="2" a="1"/>
  <c r="L35" i="2"/>
  <c r="K36" i="2" a="1"/>
  <c r="K36" i="2"/>
  <c r="K34" i="2" a="1"/>
  <c r="K34" i="2"/>
  <c r="K59" i="2" a="1"/>
  <c r="K59" i="2"/>
  <c r="AB36" i="2" a="1"/>
  <c r="AB36" i="2"/>
  <c r="AB58" i="2" a="1"/>
  <c r="AB58" i="2"/>
  <c r="AF58" i="2" a="1"/>
  <c r="AB35" i="2" a="1"/>
  <c r="AF58" i="2" l="1"/>
  <c r="AB35" i="2"/>
  <c r="K44" i="2" a="1"/>
  <c r="K44" i="2"/>
  <c r="K48" i="2" a="1"/>
  <c r="K48" i="2"/>
  <c r="K12" i="2" a="1"/>
  <c r="K12" i="2"/>
  <c r="K11" i="2" a="1"/>
  <c r="K11" i="2"/>
  <c r="L48" i="2" a="1"/>
  <c r="L48" i="2"/>
  <c r="AB15" i="2" a="1"/>
  <c r="AB15" i="2"/>
  <c r="AB48" i="2" a="1"/>
  <c r="AB48" i="2"/>
  <c r="AF48" i="2" a="1"/>
  <c r="K17" i="2" a="1"/>
  <c r="AF48" i="2" l="1"/>
  <c r="K17" i="2"/>
  <c r="K16" i="2" a="1"/>
  <c r="K16" i="2"/>
  <c r="U19" i="2" a="1"/>
  <c r="U19" i="2"/>
  <c r="AY28" i="2" a="1"/>
  <c r="AY28" i="2"/>
  <c r="AZ28" i="2" a="1"/>
  <c r="AZ28" i="2"/>
  <c r="AY17" i="2" a="1"/>
  <c r="AY17" i="2"/>
  <c r="C19" i="2" a="1"/>
  <c r="C19" i="2"/>
  <c r="AF17" i="2" a="1"/>
  <c r="AF17" i="2"/>
  <c r="B28" i="2" a="1"/>
  <c r="B28" i="2"/>
  <c r="AF19" i="2" a="1"/>
  <c r="AF19" i="2"/>
  <c r="AF28" i="2" a="1"/>
  <c r="AF28" i="2"/>
  <c r="AZ19" i="2" a="1"/>
  <c r="AZ19" i="2"/>
  <c r="U28" i="2" a="1"/>
  <c r="U28" i="2"/>
  <c r="C17" i="2" a="1"/>
  <c r="C17" i="2"/>
  <c r="B17" i="2" a="1"/>
  <c r="B17" i="2"/>
  <c r="AY19" i="2" a="1"/>
  <c r="AY19" i="2"/>
  <c r="B19" i="2" a="1"/>
  <c r="B19" i="2"/>
  <c r="U17" i="2" a="1"/>
  <c r="U17" i="2"/>
  <c r="AZ17" i="2" a="1"/>
  <c r="AZ17" i="2"/>
  <c r="C28" i="2" a="1"/>
  <c r="C28" i="2"/>
  <c r="BN2" i="2" a="1"/>
  <c r="BN2" i="2"/>
  <c r="BO2" i="2" a="1"/>
  <c r="BO2" i="2"/>
  <c r="BO1" i="2" a="1"/>
  <c r="BO1" i="2"/>
  <c r="BN5" i="2" a="1"/>
  <c r="BN5" i="2"/>
  <c r="BO4" i="2" a="1"/>
  <c r="BO4" i="2"/>
  <c r="BO5" i="2" a="1"/>
  <c r="BO5" i="2"/>
  <c r="BO3" i="2" a="1"/>
  <c r="BO3" i="2"/>
  <c r="BN4" i="2" a="1"/>
  <c r="BN4" i="2"/>
  <c r="BN3" i="2" a="1"/>
  <c r="BN3" i="2"/>
  <c r="BN1" i="2" a="1"/>
  <c r="BN1" i="2"/>
  <c r="A5" i="2" a="1"/>
  <c r="A5" i="2"/>
  <c r="AE4" i="2" a="1"/>
  <c r="AE4" i="2"/>
  <c r="CC60" i="2"/>
  <c r="CA60" i="2"/>
  <c r="BZ60" i="2"/>
  <c r="BD60" i="2" l="1"/>
  <c r="BC60" i="2" l="1"/>
  <c r="BA60" i="2"/>
  <c r="J60" i="2" l="1"/>
  <c r="BI60" i="2" l="1"/>
  <c r="BH60" i="2" l="1"/>
  <c r="CA59" i="2"/>
  <c r="BZ59" i="2"/>
  <c r="BU59" i="2"/>
  <c r="BD59" i="2" l="1"/>
  <c r="BC59" i="2" l="1"/>
  <c r="BA59" i="2"/>
  <c r="J59" i="2" l="1"/>
  <c r="BI59" i="2" l="1"/>
  <c r="BH59" i="2" l="1"/>
  <c r="CA58" i="2"/>
  <c r="BZ58" i="2"/>
  <c r="BU58" i="2"/>
  <c r="BD58" i="2" l="1"/>
  <c r="BC58" i="2" l="1"/>
  <c r="BA58" i="2"/>
  <c r="J58" i="2" l="1"/>
  <c r="BI58" i="2" l="1"/>
  <c r="BH58" i="2" l="1"/>
  <c r="CA57" i="2"/>
  <c r="BZ57" i="2"/>
  <c r="BU57" i="2"/>
  <c r="BD57" i="2" l="1"/>
  <c r="BC57" i="2" l="1"/>
  <c r="BA57" i="2"/>
  <c r="J57" i="2" l="1"/>
  <c r="BI57" i="2" l="1"/>
  <c r="BH57" i="2" l="1"/>
  <c r="CA56" i="2"/>
  <c r="BZ56" i="2"/>
  <c r="BU56" i="2"/>
  <c r="BD56" i="2" l="1"/>
  <c r="BC56" i="2" l="1"/>
  <c r="BA56" i="2"/>
  <c r="J56" i="2" l="1"/>
  <c r="BI56" i="2" l="1"/>
  <c r="BH56" i="2" l="1"/>
  <c r="CA55" i="2"/>
  <c r="BZ55" i="2"/>
  <c r="BU55" i="2"/>
  <c r="BD55" i="2" l="1"/>
  <c r="BC55" i="2" l="1"/>
  <c r="BA55" i="2"/>
  <c r="J55" i="2" l="1"/>
  <c r="BI55" i="2" l="1"/>
  <c r="BH55" i="2" l="1"/>
  <c r="CA54" i="2"/>
  <c r="BZ54" i="2"/>
  <c r="BU54" i="2"/>
  <c r="BD54" i="2" l="1"/>
  <c r="BC54" i="2" l="1"/>
  <c r="BA54" i="2"/>
  <c r="J54" i="2" l="1"/>
  <c r="BI54" i="2" l="1"/>
  <c r="BH54" i="2" l="1"/>
  <c r="CA53" i="2"/>
  <c r="BZ53" i="2"/>
  <c r="BU53" i="2"/>
  <c r="BD53" i="2" l="1"/>
  <c r="BC53" i="2" l="1"/>
  <c r="BA53" i="2"/>
  <c r="J53" i="2" l="1"/>
  <c r="BI53" i="2" l="1"/>
  <c r="BH53" i="2" l="1"/>
  <c r="CA52" i="2"/>
  <c r="BZ52" i="2"/>
  <c r="BU52" i="2"/>
  <c r="BD52" i="2" l="1"/>
  <c r="BC52" i="2" l="1"/>
  <c r="BA52" i="2"/>
  <c r="J52" i="2" l="1"/>
  <c r="BI52" i="2" l="1"/>
  <c r="BH52" i="2" l="1"/>
  <c r="CA51" i="2"/>
  <c r="BZ51" i="2"/>
  <c r="BU51" i="2"/>
  <c r="BD51" i="2" l="1"/>
  <c r="BC51" i="2" l="1"/>
  <c r="BA51" i="2"/>
  <c r="J51" i="2" l="1"/>
  <c r="BI51" i="2" l="1"/>
  <c r="BH51" i="2" l="1"/>
  <c r="CA50" i="2"/>
  <c r="BZ50" i="2"/>
  <c r="BU50" i="2"/>
  <c r="BD50" i="2" l="1"/>
  <c r="BC50" i="2" l="1"/>
  <c r="BA50" i="2"/>
  <c r="J50" i="2" l="1"/>
  <c r="BI50" i="2" l="1"/>
  <c r="BH50" i="2" l="1"/>
  <c r="CA49" i="2"/>
  <c r="BZ49" i="2"/>
  <c r="BU49" i="2"/>
  <c r="BD49" i="2" l="1"/>
  <c r="BC49" i="2" l="1"/>
  <c r="BA49" i="2"/>
  <c r="J49" i="2" l="1"/>
  <c r="BI49" i="2" l="1"/>
  <c r="BH49" i="2" l="1"/>
  <c r="CA48" i="2"/>
  <c r="BZ48" i="2"/>
  <c r="BU48" i="2"/>
  <c r="BD48" i="2" l="1"/>
  <c r="BC48" i="2" l="1"/>
  <c r="BA48" i="2"/>
  <c r="J48" i="2" l="1"/>
  <c r="BI48" i="2" l="1"/>
  <c r="BH48" i="2" l="1"/>
  <c r="CA47" i="2"/>
  <c r="BZ47" i="2"/>
  <c r="BU47" i="2"/>
  <c r="BD47" i="2" l="1"/>
  <c r="BC47" i="2" l="1"/>
  <c r="BA47" i="2"/>
  <c r="J47" i="2" l="1"/>
  <c r="BI47" i="2" l="1"/>
  <c r="BH47" i="2" l="1"/>
  <c r="CA46" i="2"/>
  <c r="BZ46" i="2"/>
  <c r="BU46" i="2"/>
  <c r="BD46" i="2" l="1"/>
  <c r="BC46" i="2" l="1"/>
  <c r="BA46" i="2"/>
  <c r="J46" i="2" l="1"/>
  <c r="BI46" i="2" l="1"/>
  <c r="BH46" i="2" l="1"/>
  <c r="CA45" i="2"/>
  <c r="BZ45" i="2"/>
  <c r="BU45" i="2"/>
  <c r="BD45" i="2" l="1"/>
  <c r="BC45" i="2" l="1"/>
  <c r="BA45" i="2"/>
  <c r="J45" i="2" l="1"/>
  <c r="BI45" i="2" l="1"/>
  <c r="BH45" i="2" l="1"/>
  <c r="CC44" i="2"/>
  <c r="CA44" i="2"/>
  <c r="BZ44" i="2"/>
  <c r="BD44" i="2" l="1"/>
  <c r="BC44" i="2" l="1"/>
  <c r="BA44" i="2"/>
  <c r="J44" i="2" l="1"/>
  <c r="BI44" i="2" l="1"/>
  <c r="BH44" i="2" l="1"/>
  <c r="CA43" i="2"/>
  <c r="BZ43" i="2"/>
  <c r="BU43" i="2"/>
  <c r="BD43" i="2" l="1"/>
  <c r="BC43" i="2" l="1"/>
  <c r="BA43" i="2"/>
  <c r="J43" i="2" l="1"/>
  <c r="BI43" i="2" l="1"/>
  <c r="BH43" i="2" l="1"/>
  <c r="CA42" i="2"/>
  <c r="BZ42" i="2"/>
  <c r="BU42" i="2"/>
  <c r="BD42" i="2" l="1"/>
  <c r="BC42" i="2" l="1"/>
  <c r="BA42" i="2"/>
  <c r="J42" i="2" l="1"/>
  <c r="BI42" i="2" l="1"/>
  <c r="BH42" i="2" l="1"/>
  <c r="CA41" i="2"/>
  <c r="BZ41" i="2"/>
  <c r="BU41" i="2"/>
  <c r="BD41" i="2" l="1"/>
  <c r="BC41" i="2" l="1"/>
  <c r="BA41" i="2"/>
  <c r="J41" i="2" l="1"/>
  <c r="BI41" i="2" l="1"/>
  <c r="BH41" i="2" l="1"/>
  <c r="CA40" i="2"/>
  <c r="BZ40" i="2"/>
  <c r="BU40" i="2"/>
  <c r="BD40" i="2" l="1"/>
  <c r="BC40" i="2" l="1"/>
  <c r="BA40" i="2"/>
  <c r="J40" i="2" l="1"/>
  <c r="BI40" i="2" l="1"/>
  <c r="BH40" i="2" l="1"/>
  <c r="CA39" i="2"/>
  <c r="BZ39" i="2"/>
  <c r="BU39" i="2"/>
  <c r="BD39" i="2" l="1"/>
  <c r="BC39" i="2" l="1"/>
  <c r="BA39" i="2"/>
  <c r="J39" i="2" l="1"/>
  <c r="BI39" i="2" l="1"/>
  <c r="BH39" i="2" l="1"/>
  <c r="CA38" i="2"/>
  <c r="BZ38" i="2"/>
  <c r="BU38" i="2"/>
  <c r="BD38" i="2" l="1"/>
  <c r="BC38" i="2" l="1"/>
  <c r="BA38" i="2"/>
  <c r="J38" i="2" l="1"/>
  <c r="BI38" i="2" l="1"/>
  <c r="BH38" i="2" l="1"/>
  <c r="CA37" i="2"/>
  <c r="BZ37" i="2"/>
  <c r="BU37" i="2"/>
  <c r="BD37" i="2" l="1"/>
  <c r="BC37" i="2" l="1"/>
  <c r="BA37" i="2"/>
  <c r="J37" i="2" l="1"/>
  <c r="BI37" i="2" l="1"/>
  <c r="BH37" i="2" l="1"/>
  <c r="CA36" i="2"/>
  <c r="BZ36" i="2"/>
  <c r="BU36" i="2"/>
  <c r="BD36" i="2" l="1"/>
  <c r="BC36" i="2" l="1"/>
  <c r="BA36" i="2"/>
  <c r="J36" i="2" l="1"/>
  <c r="BI36" i="2" l="1"/>
  <c r="BH36" i="2" l="1"/>
  <c r="CA35" i="2"/>
  <c r="BZ35" i="2"/>
  <c r="BU35" i="2"/>
  <c r="BD35" i="2" l="1"/>
  <c r="BC35" i="2" l="1"/>
  <c r="BA35" i="2"/>
  <c r="J35" i="2" l="1"/>
  <c r="BI35" i="2" l="1"/>
  <c r="BH35" i="2" l="1"/>
  <c r="CA34" i="2"/>
  <c r="BZ34" i="2"/>
  <c r="BU34" i="2"/>
  <c r="BD34" i="2" l="1"/>
  <c r="BC34" i="2" l="1"/>
  <c r="BA34" i="2"/>
  <c r="J34" i="2" l="1"/>
  <c r="BI34" i="2" l="1"/>
  <c r="BH34" i="2" l="1"/>
  <c r="CA33" i="2"/>
  <c r="BZ33" i="2"/>
  <c r="BU33" i="2"/>
  <c r="BD33" i="2" l="1"/>
  <c r="BC33" i="2" l="1"/>
  <c r="BA33" i="2"/>
  <c r="J33" i="2" l="1"/>
  <c r="BI33" i="2" l="1"/>
  <c r="BH33" i="2" l="1"/>
  <c r="CC32" i="2"/>
  <c r="CA32" i="2"/>
  <c r="BZ32" i="2"/>
  <c r="BD32" i="2" l="1"/>
  <c r="BC32" i="2" l="1"/>
  <c r="BA32" i="2"/>
  <c r="J32" i="2" l="1"/>
  <c r="BI32" i="2" l="1"/>
  <c r="BH32" i="2" l="1"/>
  <c r="CA31" i="2"/>
  <c r="BZ31" i="2"/>
  <c r="BU31" i="2"/>
  <c r="BD31" i="2" l="1"/>
  <c r="BC31" i="2" l="1"/>
  <c r="BA31" i="2"/>
  <c r="J31" i="2" l="1"/>
  <c r="BI31" i="2" l="1"/>
  <c r="BH31" i="2" l="1"/>
  <c r="CA30" i="2"/>
  <c r="BZ30" i="2"/>
  <c r="BU30" i="2"/>
  <c r="BD30" i="2" l="1"/>
  <c r="BC30" i="2" l="1"/>
  <c r="BA30" i="2"/>
  <c r="J30" i="2" l="1"/>
  <c r="BI30" i="2" l="1"/>
  <c r="BH30" i="2" l="1"/>
  <c r="CA29" i="2"/>
  <c r="BZ29" i="2"/>
  <c r="BU29" i="2"/>
  <c r="BD29" i="2" l="1"/>
  <c r="BC29" i="2" l="1"/>
  <c r="BA29" i="2"/>
  <c r="J29" i="2" l="1"/>
  <c r="BI29" i="2" l="1"/>
  <c r="BH29" i="2" l="1"/>
  <c r="CA28" i="2"/>
  <c r="BZ28" i="2"/>
  <c r="BU28" i="2"/>
  <c r="BD28" i="2" l="1"/>
  <c r="BC28" i="2" l="1"/>
  <c r="BA28" i="2"/>
  <c r="J28" i="2" l="1"/>
  <c r="BI28" i="2" l="1"/>
  <c r="BH28" i="2" l="1"/>
  <c r="CA27" i="2"/>
  <c r="BZ27" i="2"/>
  <c r="BU27" i="2"/>
  <c r="BD27" i="2" l="1"/>
  <c r="BC27" i="2" l="1"/>
  <c r="BA27" i="2"/>
  <c r="J27" i="2" l="1"/>
  <c r="BI27" i="2" l="1"/>
  <c r="BH27" i="2" l="1"/>
  <c r="CA26" i="2"/>
  <c r="BZ26" i="2"/>
  <c r="BU26" i="2"/>
  <c r="BD26" i="2" l="1"/>
  <c r="BC26" i="2" l="1"/>
  <c r="BA26" i="2"/>
  <c r="J26" i="2" l="1"/>
  <c r="BI26" i="2" l="1"/>
  <c r="BH26" i="2" l="1"/>
  <c r="CA25" i="2"/>
  <c r="BZ25" i="2"/>
  <c r="BU25" i="2"/>
  <c r="BD25" i="2" l="1"/>
  <c r="BC25" i="2" l="1"/>
  <c r="BA25" i="2"/>
  <c r="J25" i="2" l="1"/>
  <c r="BI25" i="2" l="1"/>
  <c r="BH25" i="2" l="1"/>
  <c r="CA24" i="2"/>
  <c r="BZ24" i="2"/>
  <c r="BU24" i="2"/>
  <c r="BD24" i="2" l="1"/>
  <c r="BC24" i="2" l="1"/>
  <c r="BA24" i="2"/>
  <c r="J24" i="2" l="1"/>
  <c r="BI24" i="2" l="1"/>
  <c r="BH24" i="2" l="1"/>
  <c r="CC23" i="2"/>
  <c r="CA23" i="2"/>
  <c r="BZ23" i="2"/>
  <c r="BD23" i="2" l="1"/>
  <c r="BC23" i="2" l="1"/>
  <c r="BA23" i="2"/>
  <c r="J23" i="2" l="1"/>
  <c r="BI23" i="2" l="1"/>
  <c r="BH23" i="2" l="1"/>
  <c r="CA22" i="2"/>
  <c r="BZ22" i="2"/>
  <c r="BU22" i="2"/>
  <c r="BD22" i="2" l="1"/>
  <c r="BC22" i="2" l="1"/>
  <c r="BA22" i="2"/>
  <c r="J22" i="2" l="1"/>
  <c r="BI22" i="2" l="1"/>
  <c r="BH22" i="2" l="1"/>
  <c r="CA21" i="2"/>
  <c r="BZ21" i="2"/>
  <c r="BU21" i="2"/>
  <c r="BD21" i="2" l="1"/>
  <c r="BC21" i="2" l="1"/>
  <c r="BA21" i="2"/>
  <c r="J21" i="2" l="1"/>
  <c r="BI21" i="2" l="1"/>
  <c r="BH21" i="2" l="1"/>
  <c r="CA20" i="2"/>
  <c r="BZ20" i="2"/>
  <c r="BU20" i="2"/>
  <c r="BD20" i="2" l="1"/>
  <c r="BC20" i="2" l="1"/>
  <c r="BA20" i="2"/>
  <c r="J20" i="2" l="1"/>
  <c r="BI20" i="2" l="1"/>
  <c r="BH20" i="2" l="1"/>
  <c r="CA19" i="2"/>
  <c r="BZ19" i="2"/>
  <c r="BU19" i="2"/>
  <c r="BD19" i="2" l="1"/>
  <c r="BC19" i="2" l="1"/>
  <c r="BA19" i="2"/>
  <c r="J19" i="2" l="1"/>
  <c r="BI19" i="2" l="1"/>
  <c r="BH19" i="2" l="1"/>
  <c r="CC18" i="2"/>
  <c r="CA18" i="2"/>
  <c r="BZ18" i="2"/>
  <c r="BD18" i="2" l="1"/>
  <c r="BC18" i="2" l="1"/>
  <c r="BA18" i="2"/>
  <c r="J18" i="2" l="1"/>
  <c r="BI18" i="2" l="1"/>
  <c r="BH18" i="2" l="1"/>
  <c r="CC17" i="2"/>
  <c r="BD17" i="2" l="1"/>
  <c r="BC17" i="2" l="1"/>
  <c r="BA17" i="2"/>
  <c r="J17" i="2" l="1"/>
  <c r="BI17" i="2" l="1"/>
  <c r="BH17" i="2" l="1"/>
  <c r="CC16" i="2"/>
  <c r="BD16" i="2" l="1"/>
  <c r="BC16" i="2" l="1"/>
  <c r="BA16" i="2"/>
  <c r="J16" i="2" l="1"/>
  <c r="BI16" i="2" l="1"/>
  <c r="BH16" i="2" l="1"/>
  <c r="CC15" i="2"/>
  <c r="BD15" i="2" l="1"/>
  <c r="BC15" i="2" l="1"/>
  <c r="BA15" i="2"/>
  <c r="J15" i="2" l="1"/>
  <c r="BI15" i="2" l="1"/>
  <c r="BH15" i="2" l="1"/>
  <c r="CC14" i="2"/>
  <c r="BD14" i="2" l="1"/>
  <c r="BC14" i="2" l="1"/>
  <c r="BA14" i="2"/>
  <c r="J14" i="2" l="1"/>
  <c r="BI14" i="2" l="1"/>
  <c r="BH14" i="2" l="1"/>
  <c r="CC13" i="2"/>
  <c r="BD13" i="2" l="1"/>
  <c r="BC13" i="2" l="1"/>
  <c r="BA13" i="2"/>
  <c r="J13" i="2" l="1"/>
  <c r="BI13" i="2" l="1"/>
  <c r="BH13" i="2" l="1"/>
  <c r="CC12" i="2"/>
  <c r="BD12" i="2" l="1"/>
  <c r="BC12" i="2" l="1"/>
  <c r="BA12" i="2"/>
  <c r="J12" i="2" l="1"/>
  <c r="BI12" i="2" l="1"/>
  <c r="BH12" i="2" l="1"/>
  <c r="CC11" i="2"/>
  <c r="BD11" i="2" l="1"/>
  <c r="BC11" i="2" l="1"/>
  <c r="BA11" i="2"/>
  <c r="J11" i="2" l="1"/>
  <c r="BI11" i="2" l="1"/>
  <c r="BH11" i="2" l="1"/>
  <c r="CD10" i="2"/>
  <c r="CC10" i="2"/>
  <c r="BD10" i="2" l="1"/>
  <c r="BC10" i="2" l="1"/>
  <c r="BA10" i="2"/>
  <c r="J10" i="2" l="1"/>
  <c r="BI10" i="2" l="1"/>
  <c r="BH10" i="2" l="1"/>
  <c r="BD9" i="2" l="1"/>
  <c r="BC9" i="2" l="1"/>
  <c r="BA9" i="2"/>
  <c r="J9" i="2" l="1"/>
  <c r="BI9" i="2" l="1"/>
  <c r="BH9" i="2" l="1"/>
  <c r="BD8" i="2" l="1"/>
  <c r="BC8" i="2" l="1"/>
  <c r="BA8" i="2"/>
  <c r="J8" i="2" l="1"/>
  <c r="BI8" i="2" l="1"/>
  <c r="BH8" i="2" l="1"/>
  <c r="CA5" i="2" l="1"/>
  <c r="BZ5" i="2" l="1"/>
  <c r="CB60" i="2" l="1"/>
  <c r="BQ5" i="2"/>
  <c r="CA4" i="2" l="1"/>
  <c r="BZ4" i="2" l="1"/>
  <c r="CB44" i="2" l="1"/>
  <c r="CA3" i="2" l="1"/>
  <c r="BZ3" i="2" l="1"/>
  <c r="CB32" i="2" l="1"/>
  <c r="A3" i="2"/>
  <c r="A4" i="2" a="1"/>
  <c r="A1" i="2" a="1"/>
  <c r="A1" i="2" l="1"/>
  <c r="A4" i="2"/>
  <c r="CA2" i="2"/>
  <c r="BB37" i="2" a="1"/>
  <c r="BB30" i="2" a="1"/>
  <c r="BB22" i="2" a="1"/>
  <c r="BB26" i="2" a="1"/>
  <c r="BB40" i="2" a="1"/>
  <c r="BB12" i="2" a="1"/>
  <c r="BB25" i="2" a="1"/>
  <c r="BB50" i="2" a="1"/>
  <c r="BB15" i="2" a="1"/>
  <c r="BB57" i="2" a="1"/>
  <c r="BB8" i="2" a="1"/>
  <c r="BB58" i="2" a="1"/>
  <c r="BB10" i="2" a="1"/>
  <c r="BB29" i="2" a="1"/>
  <c r="BB35" i="2" a="1"/>
  <c r="BB20" i="2" a="1"/>
  <c r="BB36" i="2" a="1"/>
  <c r="BB41" i="2" a="1"/>
  <c r="BB51" i="2" a="1"/>
  <c r="BB43" i="2" a="1"/>
  <c r="BB54" i="2" a="1"/>
  <c r="BB53" i="2" a="1"/>
  <c r="BB38" i="2" a="1"/>
  <c r="BB32" i="2" a="1"/>
  <c r="BB59" i="2" a="1"/>
  <c r="BB52" i="2" a="1"/>
  <c r="BB27" i="2" a="1"/>
  <c r="BB60" i="2" a="1"/>
  <c r="BB56" i="2" a="1"/>
  <c r="BB13" i="2" a="1"/>
  <c r="BB16" i="2" a="1"/>
  <c r="BB55" i="2" a="1"/>
  <c r="BB45" i="2" a="1"/>
  <c r="BB21" i="2" a="1"/>
  <c r="BB9" i="2" a="1"/>
  <c r="BB23" i="2" a="1"/>
  <c r="BB49" i="2" a="1"/>
  <c r="BB39" i="2" a="1"/>
  <c r="BB44" i="2" a="1"/>
  <c r="BB33" i="2" a="1"/>
  <c r="BB17" i="2" a="1"/>
  <c r="BB19" i="2" a="1"/>
  <c r="BB48" i="2" a="1"/>
  <c r="BB46" i="2" a="1"/>
  <c r="BB24" i="2" a="1"/>
  <c r="BB42" i="2" a="1"/>
  <c r="BB18" i="2" a="1"/>
  <c r="BB34" i="2" a="1"/>
  <c r="BB47" i="2" a="1"/>
  <c r="BB14" i="2" a="1"/>
  <c r="BB31" i="2" a="1"/>
  <c r="BB11" i="2" a="1"/>
  <c r="BB28" i="2" a="1"/>
  <c r="D53" i="2" a="1"/>
  <c r="M39" i="2" a="1"/>
  <c r="D21" i="2" a="1"/>
  <c r="M14" i="2" a="1"/>
  <c r="D35" i="2" a="1"/>
  <c r="D56" i="2" a="1"/>
  <c r="D23" i="2" a="1"/>
  <c r="D24" i="2" a="1"/>
  <c r="D48" i="2" a="1"/>
  <c r="M27" i="2" a="1"/>
  <c r="M35" i="2" a="1"/>
  <c r="D46" i="2" a="1"/>
  <c r="D60" i="2" a="1"/>
  <c r="M10" i="2" a="1"/>
  <c r="D55" i="2" a="1"/>
  <c r="D11" i="2" a="1"/>
  <c r="M43" i="2" a="1"/>
  <c r="D40" i="2" a="1"/>
  <c r="M19" i="2" a="1"/>
  <c r="M38" i="2" a="1"/>
  <c r="M8" i="2" a="1"/>
  <c r="M33" i="2" a="1"/>
  <c r="M23" i="2" a="1"/>
  <c r="M47" i="2" a="1"/>
  <c r="M48" i="2" a="1"/>
  <c r="D57" i="2" a="1"/>
  <c r="D22" i="2" a="1"/>
  <c r="D37" i="2" a="1"/>
  <c r="D27" i="2" a="1"/>
  <c r="M20" i="2" a="1"/>
  <c r="M11" i="2" a="1"/>
  <c r="M12" i="2" a="1"/>
  <c r="D8" i="2" a="1"/>
  <c r="M60" i="2" a="1"/>
  <c r="D13" i="2" a="1"/>
  <c r="M40" i="2" a="1"/>
  <c r="D44" i="2" a="1"/>
  <c r="D59" i="2" a="1"/>
  <c r="M58" i="2" a="1"/>
  <c r="D36" i="2" a="1"/>
  <c r="M45" i="2" a="1"/>
  <c r="M21" i="2" a="1"/>
  <c r="M22" i="2" a="1"/>
  <c r="M50" i="2" a="1"/>
  <c r="M52" i="2" a="1"/>
  <c r="M15" i="2" a="1"/>
  <c r="D54" i="2" a="1"/>
  <c r="D45" i="2" a="1"/>
  <c r="D28" i="2" a="1"/>
  <c r="D18" i="2" a="1"/>
  <c r="M54" i="2" a="1"/>
  <c r="M44" i="2" a="1"/>
  <c r="D50" i="2" a="1"/>
  <c r="M57" i="2" a="1"/>
  <c r="D51" i="2" a="1"/>
  <c r="D30" i="2" a="1"/>
  <c r="D49" i="2" a="1"/>
  <c r="D47" i="2" a="1"/>
  <c r="M13" i="2" a="1"/>
  <c r="M59" i="2" a="1"/>
  <c r="D19" i="2" a="1"/>
  <c r="D17" i="2" a="1"/>
  <c r="M32" i="2" a="1"/>
  <c r="D20" i="2" a="1"/>
  <c r="M46" i="2" a="1"/>
  <c r="D58" i="2" a="1"/>
  <c r="D26" i="2" a="1"/>
  <c r="D15" i="2" a="1"/>
  <c r="D52" i="2" a="1"/>
  <c r="M25" i="2" a="1"/>
  <c r="D32" i="2" a="1"/>
  <c r="D39" i="2" a="1"/>
  <c r="D42" i="2" a="1"/>
  <c r="D34" i="2" a="1"/>
  <c r="D29" i="2" a="1"/>
  <c r="D33" i="2" a="1"/>
  <c r="D12" i="2" a="1"/>
  <c r="D14" i="2" a="1"/>
  <c r="M42" i="2" a="1"/>
  <c r="M16" i="2" a="1"/>
  <c r="M17" i="2" a="1"/>
  <c r="M24" i="2" a="1"/>
  <c r="D43" i="2" a="1"/>
  <c r="M36" i="2" a="1"/>
  <c r="M29" i="2" a="1"/>
  <c r="M9" i="2" a="1"/>
  <c r="M53" i="2" a="1"/>
  <c r="D31" i="2" a="1"/>
  <c r="D25" i="2" a="1"/>
  <c r="M37" i="2" a="1"/>
  <c r="M55" i="2" a="1"/>
  <c r="M18" i="2" a="1"/>
  <c r="M31" i="2" a="1"/>
  <c r="M34" i="2" a="1"/>
  <c r="D41" i="2" a="1"/>
  <c r="D10" i="2" a="1"/>
  <c r="D38" i="2" a="1"/>
  <c r="D16" i="2" a="1"/>
  <c r="M56" i="2" a="1"/>
  <c r="M26" i="2" a="1"/>
  <c r="M51" i="2" a="1"/>
  <c r="M28" i="2" a="1"/>
  <c r="M30" i="2" a="1"/>
  <c r="M49" i="2" a="1"/>
  <c r="M41" i="2" a="1"/>
  <c r="D9" i="2" a="1"/>
  <c r="AE3" i="2" a="1"/>
  <c r="V2" i="2" a="1"/>
  <c r="A2" i="2" a="1"/>
  <c r="BB37" i="2" l="1"/>
  <c r="BB45" i="2"/>
  <c r="BB55" i="2"/>
  <c r="BB16" i="2"/>
  <c r="BB13" i="2"/>
  <c r="BB56" i="2"/>
  <c r="BB60" i="2"/>
  <c r="BB27" i="2"/>
  <c r="BB52" i="2"/>
  <c r="BB59" i="2"/>
  <c r="BB32" i="2"/>
  <c r="BB38" i="2"/>
  <c r="BB53" i="2"/>
  <c r="BB54" i="2"/>
  <c r="BB43" i="2"/>
  <c r="BB51" i="2"/>
  <c r="BB41" i="2"/>
  <c r="BB36" i="2"/>
  <c r="BB20" i="2"/>
  <c r="BB35" i="2"/>
  <c r="BB29" i="2"/>
  <c r="BB10" i="2"/>
  <c r="BB58" i="2"/>
  <c r="BB8" i="2"/>
  <c r="BB57" i="2"/>
  <c r="BB15" i="2"/>
  <c r="BB50" i="2"/>
  <c r="BB25" i="2"/>
  <c r="BB12" i="2"/>
  <c r="BB40" i="2"/>
  <c r="BB26" i="2"/>
  <c r="BB22" i="2"/>
  <c r="BB30" i="2"/>
  <c r="BB28" i="2"/>
  <c r="BB11" i="2"/>
  <c r="BB31" i="2"/>
  <c r="BB14" i="2"/>
  <c r="BB47" i="2"/>
  <c r="BB34" i="2"/>
  <c r="BB18" i="2"/>
  <c r="BB42" i="2"/>
  <c r="BB24" i="2"/>
  <c r="BB46" i="2"/>
  <c r="BB48" i="2"/>
  <c r="BB19" i="2"/>
  <c r="BB17" i="2"/>
  <c r="BB33" i="2"/>
  <c r="BB44" i="2"/>
  <c r="BB39" i="2"/>
  <c r="BB49" i="2"/>
  <c r="BB23" i="2"/>
  <c r="BB9" i="2"/>
  <c r="BB21" i="2"/>
  <c r="M17" i="2"/>
  <c r="M16" i="2"/>
  <c r="M42" i="2"/>
  <c r="D14" i="2"/>
  <c r="D12" i="2"/>
  <c r="D33" i="2"/>
  <c r="D29" i="2"/>
  <c r="D34" i="2"/>
  <c r="D42" i="2"/>
  <c r="D39" i="2"/>
  <c r="D32" i="2"/>
  <c r="M25" i="2"/>
  <c r="D52" i="2"/>
  <c r="D15" i="2"/>
  <c r="D26" i="2"/>
  <c r="D58" i="2"/>
  <c r="M46" i="2"/>
  <c r="D20" i="2"/>
  <c r="M32" i="2"/>
  <c r="D17" i="2"/>
  <c r="D19" i="2"/>
  <c r="M59" i="2"/>
  <c r="M13" i="2"/>
  <c r="D47" i="2"/>
  <c r="D49" i="2"/>
  <c r="D30" i="2"/>
  <c r="D51" i="2"/>
  <c r="M57" i="2"/>
  <c r="D50" i="2"/>
  <c r="M44" i="2"/>
  <c r="M54" i="2"/>
  <c r="D18" i="2"/>
  <c r="D28" i="2"/>
  <c r="D45" i="2"/>
  <c r="D54" i="2"/>
  <c r="M15" i="2"/>
  <c r="M52" i="2"/>
  <c r="M50" i="2"/>
  <c r="M22" i="2"/>
  <c r="M21" i="2"/>
  <c r="M45" i="2"/>
  <c r="D36" i="2"/>
  <c r="M58" i="2"/>
  <c r="D59" i="2"/>
  <c r="D44" i="2"/>
  <c r="M40" i="2"/>
  <c r="D13" i="2"/>
  <c r="M60" i="2"/>
  <c r="D8" i="2"/>
  <c r="M12" i="2"/>
  <c r="M11" i="2"/>
  <c r="M20" i="2"/>
  <c r="D27" i="2"/>
  <c r="D37" i="2"/>
  <c r="D22" i="2"/>
  <c r="D57" i="2"/>
  <c r="M48" i="2"/>
  <c r="M47" i="2"/>
  <c r="M23" i="2"/>
  <c r="M33" i="2"/>
  <c r="M8" i="2"/>
  <c r="M38" i="2"/>
  <c r="M19" i="2"/>
  <c r="D40" i="2"/>
  <c r="M43" i="2"/>
  <c r="D11" i="2"/>
  <c r="D55" i="2"/>
  <c r="M10" i="2"/>
  <c r="D60" i="2"/>
  <c r="D46" i="2"/>
  <c r="M35" i="2"/>
  <c r="M27" i="2"/>
  <c r="D48" i="2"/>
  <c r="D24" i="2"/>
  <c r="D23" i="2"/>
  <c r="D56" i="2"/>
  <c r="D35" i="2"/>
  <c r="M14" i="2"/>
  <c r="D21" i="2"/>
  <c r="M39" i="2"/>
  <c r="D53" i="2"/>
  <c r="D9" i="2"/>
  <c r="M41" i="2"/>
  <c r="M49" i="2"/>
  <c r="M30" i="2"/>
  <c r="M28" i="2"/>
  <c r="M51" i="2"/>
  <c r="M26" i="2"/>
  <c r="M56" i="2"/>
  <c r="D16" i="2"/>
  <c r="D38" i="2"/>
  <c r="D10" i="2"/>
  <c r="D41" i="2"/>
  <c r="M34" i="2"/>
  <c r="M31" i="2"/>
  <c r="M18" i="2"/>
  <c r="M55" i="2"/>
  <c r="M37" i="2"/>
  <c r="D25" i="2"/>
  <c r="D31" i="2"/>
  <c r="M53" i="2"/>
  <c r="M9" i="2"/>
  <c r="M29" i="2"/>
  <c r="M36" i="2"/>
  <c r="D43" i="2"/>
  <c r="M24" i="2"/>
  <c r="V2" i="2"/>
  <c r="AE3" i="2"/>
  <c r="A2" i="2"/>
  <c r="BZ2" i="2"/>
  <c r="O33" i="2" a="1"/>
  <c r="O25" i="2" a="1"/>
  <c r="F50" i="2" a="1"/>
  <c r="O13" i="2" a="1"/>
  <c r="F22" i="2" a="1"/>
  <c r="F26" i="2" a="1"/>
  <c r="F34" i="2" a="1"/>
  <c r="F58" i="2" a="1"/>
  <c r="F18" i="2" a="1"/>
  <c r="F57" i="2" a="1"/>
  <c r="F54" i="2" a="1"/>
  <c r="F42" i="2" a="1"/>
  <c r="G14" i="2" a="1"/>
  <c r="F14" i="2" a="1"/>
  <c r="O57" i="2" a="1"/>
  <c r="P33" i="2" a="1"/>
  <c r="O10" i="2" a="1"/>
  <c r="P13" i="2" a="1"/>
  <c r="O54" i="2" a="1"/>
  <c r="G22" i="2" a="1"/>
  <c r="G18" i="2" a="1"/>
  <c r="G57" i="2" a="1"/>
  <c r="O46" i="2" a="1"/>
  <c r="G30" i="2" a="1"/>
  <c r="F30" i="2" a="1"/>
  <c r="G26" i="2" a="1"/>
  <c r="G58" i="2" a="1"/>
  <c r="O21" i="2" a="1"/>
  <c r="F49" i="2" a="1"/>
  <c r="G33" i="2" a="1"/>
  <c r="F33" i="2" a="1"/>
  <c r="O38" i="2" a="1"/>
  <c r="G46" i="2" a="1"/>
  <c r="F46" i="2" a="1"/>
  <c r="O22" i="2" a="1"/>
  <c r="G34" i="2" a="1"/>
  <c r="G42" i="2" a="1"/>
  <c r="O45" i="2" a="1"/>
  <c r="O42" i="2" a="1"/>
  <c r="G54" i="2" a="1"/>
  <c r="F13" i="2" a="1"/>
  <c r="P45" i="2" a="1"/>
  <c r="P25" i="2" a="1"/>
  <c r="P57" i="2" a="1"/>
  <c r="F59" i="2" a="1"/>
  <c r="F15" i="2" a="1"/>
  <c r="F37" i="2" a="1"/>
  <c r="O58" i="2" a="1"/>
  <c r="F17" i="2" a="1"/>
  <c r="O15" i="2" a="1"/>
  <c r="G50" i="2" a="1"/>
  <c r="O50" i="2" a="1"/>
  <c r="G17" i="2" a="1"/>
  <c r="G59" i="2" a="1"/>
  <c r="F19" i="2" a="1"/>
  <c r="G27" i="2" a="1"/>
  <c r="F27" i="2" a="1"/>
  <c r="G15" i="2" a="1"/>
  <c r="O59" i="2" a="1"/>
  <c r="P50" i="2" a="1"/>
  <c r="G37" i="2" a="1"/>
  <c r="P38" i="2" a="1"/>
  <c r="F32" i="2" a="1"/>
  <c r="F29" i="2" a="1"/>
  <c r="P54" i="2" a="1"/>
  <c r="P22" i="2" a="1"/>
  <c r="O19" i="2" a="1"/>
  <c r="O35" i="2" a="1"/>
  <c r="P46" i="2" a="1"/>
  <c r="G49" i="2" a="1"/>
  <c r="O43" i="2" a="1"/>
  <c r="P42" i="2" a="1"/>
  <c r="G51" i="2" a="1"/>
  <c r="F51" i="2" a="1"/>
  <c r="O23" i="2" a="1"/>
  <c r="G47" i="2" a="1"/>
  <c r="F47" i="2" a="1"/>
  <c r="P21" i="2" a="1"/>
  <c r="O27" i="2" a="1"/>
  <c r="P58" i="2" a="1"/>
  <c r="G39" i="2" a="1"/>
  <c r="F39" i="2" a="1"/>
  <c r="F45" i="2" a="1"/>
  <c r="O47" i="2" a="1"/>
  <c r="P10" i="2" a="1"/>
  <c r="P15" i="2" a="1"/>
  <c r="F12" i="2" a="1"/>
  <c r="P19" i="2" a="1"/>
  <c r="F28" i="2" a="1"/>
  <c r="F8" i="2" a="1"/>
  <c r="F11" i="2" a="1"/>
  <c r="P23" i="2" a="1"/>
  <c r="P27" i="2" a="1"/>
  <c r="F20" i="2" a="1"/>
  <c r="O20" i="2" a="1"/>
  <c r="G11" i="2" a="1"/>
  <c r="O11" i="2" a="1"/>
  <c r="G12" i="2" a="1"/>
  <c r="F52" i="2" a="1"/>
  <c r="G19" i="2" a="1"/>
  <c r="O52" i="2" a="1"/>
  <c r="F44" i="2" a="1"/>
  <c r="O8" i="2" a="1"/>
  <c r="G28" i="2" a="1"/>
  <c r="O48" i="2" a="1"/>
  <c r="P47" i="2" a="1"/>
  <c r="O41" i="2" a="1"/>
  <c r="P59" i="2" a="1"/>
  <c r="O40" i="2" a="1"/>
  <c r="O9" i="2" a="1"/>
  <c r="O12" i="2" a="1"/>
  <c r="G29" i="2" a="1"/>
  <c r="G13" i="2" a="1"/>
  <c r="P35" i="2" a="1"/>
  <c r="F40" i="2" a="1"/>
  <c r="G48" i="2" a="1"/>
  <c r="F48" i="2" a="1"/>
  <c r="O17" i="2" a="1"/>
  <c r="G8" i="2" a="1"/>
  <c r="P43" i="2" a="1"/>
  <c r="G36" i="2" a="1"/>
  <c r="F36" i="2" a="1"/>
  <c r="G32" i="2" a="1"/>
  <c r="O16" i="2" a="1"/>
  <c r="G20" i="2" a="1"/>
  <c r="G45" i="2" a="1"/>
  <c r="O32" i="2" a="1"/>
  <c r="P20" i="2" a="1"/>
  <c r="O49" i="2" a="1"/>
  <c r="F10" i="2" a="1"/>
  <c r="G52" i="2" a="1"/>
  <c r="G44" i="2" a="1"/>
  <c r="P8" i="2" a="1"/>
  <c r="O53" i="2" a="1"/>
  <c r="P17" i="2" a="1"/>
  <c r="G53" i="2" a="1"/>
  <c r="F53" i="2" a="1"/>
  <c r="P11" i="2" a="1"/>
  <c r="F38" i="2" a="1"/>
  <c r="O44" i="2" a="1"/>
  <c r="P40" i="2" a="1"/>
  <c r="O14" i="2" a="1"/>
  <c r="O60" i="2" a="1"/>
  <c r="F21" i="2" a="1"/>
  <c r="O29" i="2" a="1"/>
  <c r="G40" i="2" a="1"/>
  <c r="O18" i="2" a="1"/>
  <c r="P16" i="2" a="1"/>
  <c r="P12" i="2" a="1"/>
  <c r="F9" i="2" a="1"/>
  <c r="O37" i="2" a="1"/>
  <c r="P32" i="2" a="1"/>
  <c r="P49" i="2" a="1"/>
  <c r="G10" i="2" a="1"/>
  <c r="F31" i="2" a="1"/>
  <c r="P52" i="2" a="1"/>
  <c r="F35" i="2" a="1"/>
  <c r="P53" i="2" a="1"/>
  <c r="G21" i="2" a="1"/>
  <c r="O31" i="2" a="1"/>
  <c r="O26" i="2" a="1"/>
  <c r="F23" i="2" a="1"/>
  <c r="F60" i="2" a="1"/>
  <c r="P48" i="2" a="1"/>
  <c r="O55" i="2" a="1"/>
  <c r="G38" i="2" a="1"/>
  <c r="P44" i="2" a="1"/>
  <c r="P14" i="2" a="1"/>
  <c r="O34" i="2" a="1"/>
  <c r="P9" i="2" a="1"/>
  <c r="O51" i="2" a="1"/>
  <c r="P29" i="2" a="1"/>
  <c r="P60" i="2" a="1"/>
  <c r="O39" i="2" a="1"/>
  <c r="F43" i="2" a="1"/>
  <c r="F55" i="2" a="1"/>
  <c r="F25" i="2" a="1"/>
  <c r="G9" i="2" a="1"/>
  <c r="P37" i="2" a="1"/>
  <c r="P41" i="2" a="1"/>
  <c r="F56" i="2" a="1"/>
  <c r="G31" i="2" a="1"/>
  <c r="P34" i="2" a="1"/>
  <c r="O36" i="2" a="1"/>
  <c r="G43" i="2" a="1"/>
  <c r="G16" i="2" a="1"/>
  <c r="F16" i="2" a="1"/>
  <c r="G35" i="2" a="1"/>
  <c r="O30" i="2" a="1"/>
  <c r="F41" i="2" a="1"/>
  <c r="O28" i="2" a="1"/>
  <c r="P18" i="2" a="1"/>
  <c r="O24" i="2" a="1"/>
  <c r="P26" i="2" a="1"/>
  <c r="G24" i="2" a="1"/>
  <c r="F24" i="2" a="1"/>
  <c r="G55" i="2" a="1"/>
  <c r="G23" i="2" a="1"/>
  <c r="G25" i="2" a="1"/>
  <c r="P28" i="2" a="1"/>
  <c r="P51" i="2" a="1"/>
  <c r="P31" i="2" a="1"/>
  <c r="P56" i="2" a="1"/>
  <c r="O56" i="2" a="1"/>
  <c r="G60" i="2" a="1"/>
  <c r="P30" i="2" a="1"/>
  <c r="P39" i="2" a="1"/>
  <c r="P36" i="2" a="1"/>
  <c r="P55" i="2" a="1"/>
  <c r="P24" i="2" a="1"/>
  <c r="G56" i="2" a="1"/>
  <c r="G41" i="2" a="1"/>
  <c r="O33" i="2" l="1"/>
  <c r="F42" i="2"/>
  <c r="F54" i="2"/>
  <c r="F57" i="2"/>
  <c r="F18" i="2"/>
  <c r="F58" i="2"/>
  <c r="F34" i="2"/>
  <c r="F26" i="2"/>
  <c r="F22" i="2"/>
  <c r="O13" i="2"/>
  <c r="F50" i="2"/>
  <c r="O25" i="2"/>
  <c r="G54" i="2"/>
  <c r="O42" i="2"/>
  <c r="O45" i="2"/>
  <c r="G42" i="2"/>
  <c r="G34" i="2"/>
  <c r="O22" i="2"/>
  <c r="F46" i="2"/>
  <c r="G46" i="2"/>
  <c r="O38" i="2"/>
  <c r="F33" i="2"/>
  <c r="G33" i="2"/>
  <c r="F49" i="2"/>
  <c r="O21" i="2"/>
  <c r="G58" i="2"/>
  <c r="G26" i="2"/>
  <c r="F30" i="2"/>
  <c r="G30" i="2"/>
  <c r="O46" i="2"/>
  <c r="G57" i="2"/>
  <c r="G18" i="2"/>
  <c r="G22" i="2"/>
  <c r="O54" i="2"/>
  <c r="P13" i="2"/>
  <c r="O10" i="2"/>
  <c r="P33" i="2"/>
  <c r="O57" i="2"/>
  <c r="F14" i="2"/>
  <c r="G14" i="2"/>
  <c r="O50" i="2"/>
  <c r="G50" i="2"/>
  <c r="O15" i="2"/>
  <c r="F17" i="2"/>
  <c r="O58" i="2"/>
  <c r="F37" i="2"/>
  <c r="F15" i="2"/>
  <c r="F59" i="2"/>
  <c r="P57" i="2"/>
  <c r="P25" i="2"/>
  <c r="P45" i="2"/>
  <c r="F13" i="2"/>
  <c r="P10" i="2"/>
  <c r="O47" i="2"/>
  <c r="F45" i="2"/>
  <c r="F39" i="2"/>
  <c r="G39" i="2"/>
  <c r="P58" i="2"/>
  <c r="O27" i="2"/>
  <c r="P21" i="2"/>
  <c r="F47" i="2"/>
  <c r="G47" i="2"/>
  <c r="O23" i="2"/>
  <c r="F51" i="2"/>
  <c r="G51" i="2"/>
  <c r="P42" i="2"/>
  <c r="O43" i="2"/>
  <c r="G49" i="2"/>
  <c r="P46" i="2"/>
  <c r="O35" i="2"/>
  <c r="O19" i="2"/>
  <c r="P22" i="2"/>
  <c r="P54" i="2"/>
  <c r="F29" i="2"/>
  <c r="F32" i="2"/>
  <c r="P38" i="2"/>
  <c r="G37" i="2"/>
  <c r="P50" i="2"/>
  <c r="O59" i="2"/>
  <c r="G15" i="2"/>
  <c r="F27" i="2"/>
  <c r="G27" i="2"/>
  <c r="F19" i="2"/>
  <c r="G59" i="2"/>
  <c r="G17" i="2"/>
  <c r="F20" i="2"/>
  <c r="P27" i="2"/>
  <c r="P23" i="2"/>
  <c r="F11" i="2"/>
  <c r="F8" i="2"/>
  <c r="F28" i="2"/>
  <c r="P19" i="2"/>
  <c r="F12" i="2"/>
  <c r="P15" i="2"/>
  <c r="O32" i="2"/>
  <c r="G45" i="2"/>
  <c r="G20" i="2"/>
  <c r="O16" i="2"/>
  <c r="G32" i="2"/>
  <c r="F36" i="2"/>
  <c r="G36" i="2"/>
  <c r="P43" i="2"/>
  <c r="G8" i="2"/>
  <c r="O17" i="2"/>
  <c r="F48" i="2"/>
  <c r="G48" i="2"/>
  <c r="F40" i="2"/>
  <c r="P35" i="2"/>
  <c r="G13" i="2"/>
  <c r="G29" i="2"/>
  <c r="O12" i="2"/>
  <c r="O9" i="2"/>
  <c r="O40" i="2"/>
  <c r="P59" i="2"/>
  <c r="O41" i="2"/>
  <c r="P47" i="2"/>
  <c r="O48" i="2"/>
  <c r="G28" i="2"/>
  <c r="O8" i="2"/>
  <c r="F44" i="2"/>
  <c r="O52" i="2"/>
  <c r="G19" i="2"/>
  <c r="F52" i="2"/>
  <c r="G12" i="2"/>
  <c r="O11" i="2"/>
  <c r="G11" i="2"/>
  <c r="O20" i="2"/>
  <c r="P32" i="2"/>
  <c r="O37" i="2"/>
  <c r="F9" i="2"/>
  <c r="P12" i="2"/>
  <c r="P16" i="2"/>
  <c r="O18" i="2"/>
  <c r="G40" i="2"/>
  <c r="O29" i="2"/>
  <c r="F21" i="2"/>
  <c r="O60" i="2"/>
  <c r="O14" i="2"/>
  <c r="P40" i="2"/>
  <c r="O44" i="2"/>
  <c r="F38" i="2"/>
  <c r="P11" i="2"/>
  <c r="F53" i="2"/>
  <c r="G53" i="2"/>
  <c r="P17" i="2"/>
  <c r="O53" i="2"/>
  <c r="P8" i="2"/>
  <c r="G44" i="2"/>
  <c r="G52" i="2"/>
  <c r="F10" i="2"/>
  <c r="O49" i="2"/>
  <c r="P20" i="2"/>
  <c r="P41" i="2"/>
  <c r="P37" i="2"/>
  <c r="G9" i="2"/>
  <c r="F25" i="2"/>
  <c r="F55" i="2"/>
  <c r="F43" i="2"/>
  <c r="O39" i="2"/>
  <c r="P60" i="2"/>
  <c r="P29" i="2"/>
  <c r="O51" i="2"/>
  <c r="P9" i="2"/>
  <c r="O34" i="2"/>
  <c r="P14" i="2"/>
  <c r="P44" i="2"/>
  <c r="G38" i="2"/>
  <c r="O55" i="2"/>
  <c r="P48" i="2"/>
  <c r="F60" i="2"/>
  <c r="F23" i="2"/>
  <c r="O26" i="2"/>
  <c r="O31" i="2"/>
  <c r="G21" i="2"/>
  <c r="P53" i="2"/>
  <c r="F35" i="2"/>
  <c r="P52" i="2"/>
  <c r="F31" i="2"/>
  <c r="G10" i="2"/>
  <c r="P49" i="2"/>
  <c r="G25" i="2"/>
  <c r="G23" i="2"/>
  <c r="G55" i="2"/>
  <c r="F24" i="2"/>
  <c r="G24" i="2"/>
  <c r="P26" i="2"/>
  <c r="O24" i="2"/>
  <c r="P18" i="2"/>
  <c r="O28" i="2"/>
  <c r="F41" i="2"/>
  <c r="O30" i="2"/>
  <c r="G35" i="2"/>
  <c r="F16" i="2"/>
  <c r="G16" i="2"/>
  <c r="G43" i="2"/>
  <c r="O36" i="2"/>
  <c r="P34" i="2"/>
  <c r="G31" i="2"/>
  <c r="F56" i="2"/>
  <c r="G41" i="2"/>
  <c r="G56" i="2"/>
  <c r="P24" i="2"/>
  <c r="P55" i="2"/>
  <c r="P36" i="2"/>
  <c r="P39" i="2"/>
  <c r="P30" i="2"/>
  <c r="G60" i="2"/>
  <c r="O56" i="2"/>
  <c r="P56" i="2"/>
  <c r="P31" i="2"/>
  <c r="P51" i="2"/>
  <c r="P28" i="2"/>
  <c r="CB23" i="2"/>
  <c r="H42" i="2" a="1"/>
  <c r="H46" i="2" a="1"/>
  <c r="H54" i="2" a="1"/>
  <c r="H34" i="2" a="1"/>
  <c r="Q57" i="2" a="1"/>
  <c r="H14" i="2" a="1"/>
  <c r="H58" i="2" a="1"/>
  <c r="Q58" i="2" a="1"/>
  <c r="H33" i="2" a="1"/>
  <c r="H26" i="2" a="1"/>
  <c r="Q13" i="2" a="1"/>
  <c r="Q33" i="2" a="1"/>
  <c r="H57" i="2" a="1"/>
  <c r="H18" i="2" a="1"/>
  <c r="Q21" i="2" a="1"/>
  <c r="H49" i="2" a="1"/>
  <c r="Q38" i="2" a="1"/>
  <c r="H30" i="2" a="1"/>
  <c r="Q10" i="2" a="1"/>
  <c r="Q46" i="2" a="1"/>
  <c r="H37" i="2" a="1"/>
  <c r="H17" i="2" a="1"/>
  <c r="Q15" i="2" a="1"/>
  <c r="Q27" i="2" a="1"/>
  <c r="H39" i="2" a="1"/>
  <c r="Q25" i="2" a="1"/>
  <c r="Q42" i="2" a="1"/>
  <c r="Q45" i="2" a="1"/>
  <c r="Q22" i="2" a="1"/>
  <c r="H22" i="2" a="1"/>
  <c r="Q54" i="2" a="1"/>
  <c r="H50" i="2" a="1"/>
  <c r="H51" i="2" a="1"/>
  <c r="H59" i="2" a="1"/>
  <c r="H8" i="2" a="1"/>
  <c r="H27" i="2" a="1"/>
  <c r="Q59" i="2" a="1"/>
  <c r="H12" i="2" a="1"/>
  <c r="H15" i="2" a="1"/>
  <c r="Q35" i="2" a="1"/>
  <c r="H47" i="2" a="1"/>
  <c r="Q50" i="2" a="1"/>
  <c r="H48" i="2" a="1"/>
  <c r="H19" i="2" a="1"/>
  <c r="H36" i="2" a="1"/>
  <c r="H52" i="2" a="1"/>
  <c r="H32" i="2" a="1"/>
  <c r="H9" i="2" a="1"/>
  <c r="H13" i="2" a="1"/>
  <c r="Q48" i="2" a="1"/>
  <c r="Q19" i="2" a="1"/>
  <c r="Q47" i="2" a="1"/>
  <c r="H44" i="2" a="1"/>
  <c r="Q23" i="2" a="1"/>
  <c r="Q43" i="2" a="1"/>
  <c r="H29" i="2" a="1"/>
  <c r="H28" i="2" a="1"/>
  <c r="H11" i="2" a="1"/>
  <c r="H40" i="2" a="1"/>
  <c r="H45" i="2" a="1"/>
  <c r="H20" i="2" a="1"/>
  <c r="Q17" i="2" a="1"/>
  <c r="Q41" i="2" a="1"/>
  <c r="Q52" i="2" a="1"/>
  <c r="H31" i="2" a="1"/>
  <c r="H53" i="2" a="1"/>
  <c r="Q12" i="2" a="1"/>
  <c r="Q8" i="2" a="1"/>
  <c r="H43" i="2" a="1"/>
  <c r="Q11" i="2" a="1"/>
  <c r="Q16" i="2" a="1"/>
  <c r="Q49" i="2" a="1"/>
  <c r="Q53" i="2" a="1"/>
  <c r="Q32" i="2" a="1"/>
  <c r="H21" i="2" a="1"/>
  <c r="Q20" i="2" a="1"/>
  <c r="Q29" i="2" a="1"/>
  <c r="H24" i="2" a="1"/>
  <c r="H56" i="2" a="1"/>
  <c r="Q56" i="2" a="1"/>
  <c r="H25" i="2" a="1"/>
  <c r="Q39" i="2" a="1"/>
  <c r="Q60" i="2" a="1"/>
  <c r="Q37" i="2" a="1"/>
  <c r="Q26" i="2" a="1"/>
  <c r="H16" i="2" a="1"/>
  <c r="Q24" i="2" a="1"/>
  <c r="Q31" i="2" a="1"/>
  <c r="Q40" i="2" a="1"/>
  <c r="Q9" i="2" a="1"/>
  <c r="H10" i="2" a="1"/>
  <c r="Q55" i="2" a="1"/>
  <c r="Q51" i="2" a="1"/>
  <c r="Q34" i="2" a="1"/>
  <c r="H23" i="2" a="1"/>
  <c r="H38" i="2" a="1"/>
  <c r="Q18" i="2" a="1"/>
  <c r="Q36" i="2" a="1"/>
  <c r="Q28" i="2" a="1"/>
  <c r="Q44" i="2" a="1"/>
  <c r="H60" i="2" a="1"/>
  <c r="H35" i="2" a="1"/>
  <c r="Q14" i="2" a="1"/>
  <c r="Q30" i="2" a="1"/>
  <c r="H55" i="2" a="1"/>
  <c r="H41" i="2" a="1"/>
  <c r="H42" i="2" l="1"/>
  <c r="H54" i="2"/>
  <c r="H46" i="2"/>
  <c r="H18" i="2"/>
  <c r="H57" i="2"/>
  <c r="Q33" i="2"/>
  <c r="Q13" i="2"/>
  <c r="H26" i="2"/>
  <c r="H33" i="2"/>
  <c r="Q58" i="2"/>
  <c r="H58" i="2"/>
  <c r="H14" i="2"/>
  <c r="Q57" i="2"/>
  <c r="H34" i="2"/>
  <c r="H50" i="2"/>
  <c r="Q54" i="2"/>
  <c r="H22" i="2"/>
  <c r="Q22" i="2"/>
  <c r="Q45" i="2"/>
  <c r="Q42" i="2"/>
  <c r="Q25" i="2"/>
  <c r="H39" i="2"/>
  <c r="Q27" i="2"/>
  <c r="Q15" i="2"/>
  <c r="H17" i="2"/>
  <c r="H37" i="2"/>
  <c r="Q46" i="2"/>
  <c r="Q10" i="2"/>
  <c r="H30" i="2"/>
  <c r="Q38" i="2"/>
  <c r="H49" i="2"/>
  <c r="Q21" i="2"/>
  <c r="Q50" i="2"/>
  <c r="H47" i="2"/>
  <c r="Q35" i="2"/>
  <c r="H15" i="2"/>
  <c r="H12" i="2"/>
  <c r="Q59" i="2"/>
  <c r="H27" i="2"/>
  <c r="H8" i="2"/>
  <c r="H59" i="2"/>
  <c r="H51" i="2"/>
  <c r="H20" i="2"/>
  <c r="H45" i="2"/>
  <c r="H40" i="2"/>
  <c r="H11" i="2"/>
  <c r="H28" i="2"/>
  <c r="H29" i="2"/>
  <c r="Q43" i="2"/>
  <c r="Q23" i="2"/>
  <c r="H44" i="2"/>
  <c r="Q47" i="2"/>
  <c r="Q19" i="2"/>
  <c r="Q48" i="2"/>
  <c r="H13" i="2"/>
  <c r="H9" i="2"/>
  <c r="H32" i="2"/>
  <c r="H52" i="2"/>
  <c r="H36" i="2"/>
  <c r="H19" i="2"/>
  <c r="H48" i="2"/>
  <c r="Q20" i="2"/>
  <c r="H21" i="2"/>
  <c r="Q32" i="2"/>
  <c r="Q53" i="2"/>
  <c r="Q49" i="2"/>
  <c r="Q16" i="2"/>
  <c r="Q11" i="2"/>
  <c r="H43" i="2"/>
  <c r="Q8" i="2"/>
  <c r="Q12" i="2"/>
  <c r="H53" i="2"/>
  <c r="H31" i="2"/>
  <c r="Q52" i="2"/>
  <c r="Q41" i="2"/>
  <c r="Q17" i="2"/>
  <c r="H41" i="2"/>
  <c r="H55" i="2"/>
  <c r="Q30" i="2"/>
  <c r="Q14" i="2"/>
  <c r="H35" i="2"/>
  <c r="H60" i="2"/>
  <c r="Q44" i="2"/>
  <c r="Q28" i="2"/>
  <c r="Q36" i="2"/>
  <c r="Q18" i="2"/>
  <c r="H38" i="2"/>
  <c r="H23" i="2"/>
  <c r="Q34" i="2"/>
  <c r="Q51" i="2"/>
  <c r="Q55" i="2"/>
  <c r="H10" i="2"/>
  <c r="Q9" i="2"/>
  <c r="Q40" i="2"/>
  <c r="Q31" i="2"/>
  <c r="Q24" i="2"/>
  <c r="H16" i="2"/>
  <c r="Q26" i="2"/>
  <c r="Q37" i="2"/>
  <c r="Q60" i="2"/>
  <c r="Q39" i="2"/>
  <c r="H25" i="2"/>
  <c r="Q56" i="2"/>
  <c r="H56" i="2"/>
  <c r="H24" i="2"/>
  <c r="Q29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CA1" i="2" l="1"/>
  <c r="AP29" i="2"/>
  <c r="AO29" i="2"/>
  <c r="AP38" i="2"/>
  <c r="AO38" i="2"/>
  <c r="AP23" i="2"/>
  <c r="AO23" i="2"/>
  <c r="AP8" i="2"/>
  <c r="AO8" i="2"/>
  <c r="AP24" i="2"/>
  <c r="AO24" i="2"/>
  <c r="AO32" i="2"/>
  <c r="AP32" i="2"/>
  <c r="AP40" i="2"/>
  <c r="AO40" i="2"/>
  <c r="AO48" i="2"/>
  <c r="AP48" i="2"/>
  <c r="AP56" i="2"/>
  <c r="AO56" i="2"/>
  <c r="AO13" i="2"/>
  <c r="AP13" i="2"/>
  <c r="AP45" i="2"/>
  <c r="AO45" i="2"/>
  <c r="AP30" i="2"/>
  <c r="AO30" i="2"/>
  <c r="AO47" i="2"/>
  <c r="AP47" i="2"/>
  <c r="AP17" i="2"/>
  <c r="AO17" i="2"/>
  <c r="AO25" i="2"/>
  <c r="AP25" i="2"/>
  <c r="AP33" i="2"/>
  <c r="AO33" i="2"/>
  <c r="AP41" i="2"/>
  <c r="AO41" i="2"/>
  <c r="AO49" i="2"/>
  <c r="AP49" i="2"/>
  <c r="AP57" i="2"/>
  <c r="AO57" i="2"/>
  <c r="AP21" i="2"/>
  <c r="AO21" i="2"/>
  <c r="AP14" i="2"/>
  <c r="AO14" i="2"/>
  <c r="AO46" i="2"/>
  <c r="AP46" i="2"/>
  <c r="AP39" i="2"/>
  <c r="AO39" i="2"/>
  <c r="AO9" i="2"/>
  <c r="AP9" i="2"/>
  <c r="AP18" i="2"/>
  <c r="AO18" i="2"/>
  <c r="AP26" i="2"/>
  <c r="AO26" i="2"/>
  <c r="AP34" i="2"/>
  <c r="AO34" i="2"/>
  <c r="AO42" i="2"/>
  <c r="AP42" i="2"/>
  <c r="AP50" i="2"/>
  <c r="AO50" i="2"/>
  <c r="AP58" i="2"/>
  <c r="AO58" i="2"/>
  <c r="AP37" i="2"/>
  <c r="AO37" i="2"/>
  <c r="AP54" i="2"/>
  <c r="AO54" i="2"/>
  <c r="AO31" i="2"/>
  <c r="AP31" i="2"/>
  <c r="AO16" i="2"/>
  <c r="AP16" i="2"/>
  <c r="AP11" i="2"/>
  <c r="AO11" i="2"/>
  <c r="AP19" i="2"/>
  <c r="AO19" i="2"/>
  <c r="AO27" i="2"/>
  <c r="AP27" i="2"/>
  <c r="AP35" i="2"/>
  <c r="AO35" i="2"/>
  <c r="AP43" i="2"/>
  <c r="AO43" i="2"/>
  <c r="AP51" i="2"/>
  <c r="AO51" i="2"/>
  <c r="AO59" i="2"/>
  <c r="AP59" i="2"/>
  <c r="AP53" i="2"/>
  <c r="AO53" i="2"/>
  <c r="AP22" i="2"/>
  <c r="AO22" i="2"/>
  <c r="AP15" i="2"/>
  <c r="AO15" i="2"/>
  <c r="AP55" i="2"/>
  <c r="AO55" i="2"/>
  <c r="AO10" i="2"/>
  <c r="AP10" i="2"/>
  <c r="AP12" i="2"/>
  <c r="AO12" i="2"/>
  <c r="AP20" i="2"/>
  <c r="AO20" i="2"/>
  <c r="AP28" i="2"/>
  <c r="AO28" i="2"/>
  <c r="AP36" i="2"/>
  <c r="AO36" i="2"/>
  <c r="AP44" i="2"/>
  <c r="AO44" i="2"/>
  <c r="AO52" i="2"/>
  <c r="AP52" i="2"/>
  <c r="AP60" i="2"/>
  <c r="AO60" i="2"/>
  <c r="BZ1" i="2" l="1"/>
  <c r="BO59" i="2" l="1"/>
  <c r="BR59" i="2"/>
  <c r="BR58" i="2"/>
  <c r="BO58" i="2"/>
  <c r="BR57" i="2"/>
  <c r="BO57" i="2"/>
  <c r="BR56" i="2"/>
  <c r="BO56" i="2"/>
  <c r="BR55" i="2"/>
  <c r="BO55" i="2"/>
  <c r="BR54" i="2"/>
  <c r="BO54" i="2"/>
  <c r="BR53" i="2"/>
  <c r="BO53" i="2"/>
  <c r="BR52" i="2"/>
  <c r="BO52" i="2"/>
  <c r="BR51" i="2"/>
  <c r="BO51" i="2"/>
  <c r="BR50" i="2"/>
  <c r="BO50" i="2"/>
  <c r="BR49" i="2"/>
  <c r="BO49" i="2"/>
  <c r="BR48" i="2"/>
  <c r="BO48" i="2"/>
  <c r="BR47" i="2"/>
  <c r="BO47" i="2"/>
  <c r="BO46" i="2"/>
  <c r="BR46" i="2"/>
  <c r="BR45" i="2"/>
  <c r="BO45" i="2"/>
  <c r="BR43" i="2"/>
  <c r="BO43" i="2"/>
  <c r="BR42" i="2"/>
  <c r="BO42" i="2"/>
  <c r="BR41" i="2"/>
  <c r="BO41" i="2"/>
  <c r="BO40" i="2"/>
  <c r="BR40" i="2"/>
  <c r="BR39" i="2"/>
  <c r="BO39" i="2"/>
  <c r="BR38" i="2"/>
  <c r="BO38" i="2"/>
  <c r="BO37" i="2"/>
  <c r="BR37" i="2"/>
  <c r="BR36" i="2"/>
  <c r="BO36" i="2"/>
  <c r="BR35" i="2"/>
  <c r="BO35" i="2"/>
  <c r="BR34" i="2"/>
  <c r="BO34" i="2"/>
  <c r="BR33" i="2"/>
  <c r="BO33" i="2"/>
  <c r="BO31" i="2"/>
  <c r="BR31" i="2"/>
  <c r="BR30" i="2"/>
  <c r="BO30" i="2"/>
  <c r="BR29" i="2"/>
  <c r="BO29" i="2"/>
  <c r="BR28" i="2"/>
  <c r="BO28" i="2"/>
  <c r="BR27" i="2"/>
  <c r="BO27" i="2"/>
  <c r="BR26" i="2"/>
  <c r="BO26" i="2"/>
  <c r="BR25" i="2"/>
  <c r="BO25" i="2"/>
  <c r="BO24" i="2"/>
  <c r="BR24" i="2"/>
  <c r="BR22" i="2"/>
  <c r="BO22" i="2"/>
  <c r="BR21" i="2"/>
  <c r="BO21" i="2"/>
  <c r="BR20" i="2"/>
  <c r="BO20" i="2"/>
  <c r="BO19" i="2"/>
  <c r="BR19" i="2"/>
  <c r="CB18" i="2"/>
  <c r="CB17" i="2"/>
  <c r="CB16" i="2"/>
  <c r="CB15" i="2"/>
  <c r="CB14" i="2"/>
  <c r="CB13" i="2"/>
  <c r="CB12" i="2"/>
  <c r="CB11" i="2"/>
  <c r="CB10" i="2"/>
  <c r="BQ1" i="2"/>
  <c r="X21" i="2" l="1"/>
  <c r="Y21" i="2" s="1"/>
  <c r="AA21" i="2" s="1"/>
  <c r="E21" i="2"/>
  <c r="X53" i="2"/>
  <c r="Y53" i="2" s="1"/>
  <c r="AA53" i="2" s="1"/>
  <c r="E53" i="2"/>
  <c r="N13" i="2"/>
  <c r="N21" i="2"/>
  <c r="N29" i="2"/>
  <c r="N33" i="2"/>
  <c r="N41" i="2"/>
  <c r="N53" i="2"/>
  <c r="X10" i="2"/>
  <c r="Y10" i="2" s="1"/>
  <c r="AA10" i="2" s="1"/>
  <c r="E10" i="2"/>
  <c r="X18" i="2"/>
  <c r="Y18" i="2" s="1"/>
  <c r="AA18" i="2" s="1"/>
  <c r="E18" i="2"/>
  <c r="X26" i="2"/>
  <c r="Y26" i="2" s="1"/>
  <c r="AA26" i="2" s="1"/>
  <c r="E26" i="2"/>
  <c r="X34" i="2"/>
  <c r="Y34" i="2" s="1"/>
  <c r="AA34" i="2" s="1"/>
  <c r="E34" i="2"/>
  <c r="X38" i="2"/>
  <c r="Y38" i="2" s="1"/>
  <c r="AA38" i="2" s="1"/>
  <c r="E38" i="2"/>
  <c r="X42" i="2"/>
  <c r="Y42" i="2" s="1"/>
  <c r="AA42" i="2" s="1"/>
  <c r="E42" i="2"/>
  <c r="X46" i="2"/>
  <c r="Y46" i="2" s="1"/>
  <c r="AA46" i="2" s="1"/>
  <c r="E46" i="2"/>
  <c r="X54" i="2"/>
  <c r="Y54" i="2" s="1"/>
  <c r="AA54" i="2" s="1"/>
  <c r="E54" i="2"/>
  <c r="X58" i="2"/>
  <c r="Y58" i="2" s="1"/>
  <c r="AA58" i="2" s="1"/>
  <c r="E58" i="2"/>
  <c r="X9" i="2"/>
  <c r="Y9" i="2" s="1"/>
  <c r="AA9" i="2" s="1"/>
  <c r="E9" i="2"/>
  <c r="X33" i="2"/>
  <c r="Y33" i="2" s="1"/>
  <c r="AA33" i="2" s="1"/>
  <c r="E33" i="2"/>
  <c r="X57" i="2"/>
  <c r="Y57" i="2" s="1"/>
  <c r="AA57" i="2" s="1"/>
  <c r="E57" i="2"/>
  <c r="N9" i="2"/>
  <c r="N17" i="2"/>
  <c r="N25" i="2"/>
  <c r="N37" i="2"/>
  <c r="N45" i="2"/>
  <c r="N49" i="2"/>
  <c r="N57" i="2"/>
  <c r="X14" i="2"/>
  <c r="Y14" i="2" s="1"/>
  <c r="AA14" i="2" s="1"/>
  <c r="E14" i="2"/>
  <c r="X22" i="2"/>
  <c r="Y22" i="2" s="1"/>
  <c r="AA22" i="2" s="1"/>
  <c r="E22" i="2"/>
  <c r="X30" i="2"/>
  <c r="Y30" i="2" s="1"/>
  <c r="AA30" i="2" s="1"/>
  <c r="E30" i="2"/>
  <c r="X50" i="2"/>
  <c r="Y50" i="2" s="1"/>
  <c r="AA50" i="2" s="1"/>
  <c r="E50" i="2"/>
  <c r="N10" i="2"/>
  <c r="N14" i="2"/>
  <c r="N18" i="2"/>
  <c r="N22" i="2"/>
  <c r="N26" i="2"/>
  <c r="N30" i="2"/>
  <c r="N34" i="2"/>
  <c r="N38" i="2"/>
  <c r="N42" i="2"/>
  <c r="N46" i="2"/>
  <c r="N50" i="2"/>
  <c r="N54" i="2"/>
  <c r="N58" i="2"/>
  <c r="X17" i="2"/>
  <c r="Y17" i="2" s="1"/>
  <c r="AA17" i="2" s="1"/>
  <c r="E17" i="2"/>
  <c r="X25" i="2"/>
  <c r="Y25" i="2" s="1"/>
  <c r="AA25" i="2" s="1"/>
  <c r="E25" i="2"/>
  <c r="X37" i="2"/>
  <c r="Y37" i="2" s="1"/>
  <c r="AA37" i="2" s="1"/>
  <c r="E37" i="2"/>
  <c r="X49" i="2"/>
  <c r="Y49" i="2" s="1"/>
  <c r="AA49" i="2" s="1"/>
  <c r="E49" i="2"/>
  <c r="X15" i="2"/>
  <c r="Y15" i="2" s="1"/>
  <c r="AA15" i="2" s="1"/>
  <c r="E15" i="2"/>
  <c r="X23" i="2"/>
  <c r="Y23" i="2" s="1"/>
  <c r="AA23" i="2" s="1"/>
  <c r="E23" i="2"/>
  <c r="X27" i="2"/>
  <c r="Y27" i="2" s="1"/>
  <c r="AA27" i="2" s="1"/>
  <c r="E27" i="2"/>
  <c r="X31" i="2"/>
  <c r="Y31" i="2" s="1"/>
  <c r="AA31" i="2" s="1"/>
  <c r="E31" i="2"/>
  <c r="X35" i="2"/>
  <c r="Y35" i="2" s="1"/>
  <c r="AA35" i="2" s="1"/>
  <c r="E35" i="2"/>
  <c r="X39" i="2"/>
  <c r="Y39" i="2" s="1"/>
  <c r="AA39" i="2" s="1"/>
  <c r="E39" i="2"/>
  <c r="X43" i="2"/>
  <c r="Y43" i="2" s="1"/>
  <c r="AA43" i="2" s="1"/>
  <c r="E43" i="2"/>
  <c r="X47" i="2"/>
  <c r="Y47" i="2" s="1"/>
  <c r="AA47" i="2" s="1"/>
  <c r="E47" i="2"/>
  <c r="X51" i="2"/>
  <c r="Y51" i="2" s="1"/>
  <c r="AA51" i="2" s="1"/>
  <c r="E51" i="2"/>
  <c r="X55" i="2"/>
  <c r="Y55" i="2" s="1"/>
  <c r="AA55" i="2" s="1"/>
  <c r="E55" i="2"/>
  <c r="X59" i="2"/>
  <c r="Y59" i="2" s="1"/>
  <c r="AA59" i="2" s="1"/>
  <c r="E59" i="2"/>
  <c r="N11" i="2"/>
  <c r="N15" i="2"/>
  <c r="N19" i="2"/>
  <c r="N23" i="2"/>
  <c r="N27" i="2"/>
  <c r="N31" i="2"/>
  <c r="N35" i="2"/>
  <c r="N39" i="2"/>
  <c r="N43" i="2"/>
  <c r="N47" i="2"/>
  <c r="N51" i="2"/>
  <c r="N55" i="2"/>
  <c r="N59" i="2"/>
  <c r="X13" i="2"/>
  <c r="Y13" i="2" s="1"/>
  <c r="AA13" i="2" s="1"/>
  <c r="E13" i="2"/>
  <c r="X29" i="2"/>
  <c r="Y29" i="2" s="1"/>
  <c r="AA29" i="2" s="1"/>
  <c r="E29" i="2"/>
  <c r="X41" i="2"/>
  <c r="Y41" i="2" s="1"/>
  <c r="AA41" i="2" s="1"/>
  <c r="E41" i="2"/>
  <c r="X45" i="2"/>
  <c r="Y45" i="2" s="1"/>
  <c r="AA45" i="2" s="1"/>
  <c r="E45" i="2"/>
  <c r="X11" i="2"/>
  <c r="Y11" i="2" s="1"/>
  <c r="AA11" i="2" s="1"/>
  <c r="E11" i="2"/>
  <c r="X19" i="2"/>
  <c r="Y19" i="2" s="1"/>
  <c r="AA19" i="2" s="1"/>
  <c r="E19" i="2"/>
  <c r="X8" i="2"/>
  <c r="Y8" i="2" s="1"/>
  <c r="AA8" i="2" s="1"/>
  <c r="E8" i="2"/>
  <c r="X12" i="2"/>
  <c r="Y12" i="2" s="1"/>
  <c r="AA12" i="2" s="1"/>
  <c r="E12" i="2"/>
  <c r="X16" i="2"/>
  <c r="Y16" i="2" s="1"/>
  <c r="AA16" i="2" s="1"/>
  <c r="E16" i="2"/>
  <c r="X20" i="2"/>
  <c r="Y20" i="2" s="1"/>
  <c r="AA20" i="2" s="1"/>
  <c r="E20" i="2"/>
  <c r="X24" i="2"/>
  <c r="Y24" i="2" s="1"/>
  <c r="AA24" i="2" s="1"/>
  <c r="E24" i="2"/>
  <c r="X28" i="2"/>
  <c r="Y28" i="2" s="1"/>
  <c r="AA28" i="2" s="1"/>
  <c r="E28" i="2"/>
  <c r="X32" i="2"/>
  <c r="Y32" i="2" s="1"/>
  <c r="AA32" i="2" s="1"/>
  <c r="E32" i="2"/>
  <c r="X36" i="2"/>
  <c r="Y36" i="2" s="1"/>
  <c r="AA36" i="2" s="1"/>
  <c r="E36" i="2"/>
  <c r="X40" i="2"/>
  <c r="Y40" i="2" s="1"/>
  <c r="AA40" i="2" s="1"/>
  <c r="E40" i="2"/>
  <c r="X44" i="2"/>
  <c r="Y44" i="2" s="1"/>
  <c r="AA44" i="2" s="1"/>
  <c r="E44" i="2"/>
  <c r="X48" i="2"/>
  <c r="Y48" i="2" s="1"/>
  <c r="AA48" i="2" s="1"/>
  <c r="E48" i="2"/>
  <c r="X52" i="2"/>
  <c r="Y52" i="2" s="1"/>
  <c r="AA52" i="2" s="1"/>
  <c r="E52" i="2"/>
  <c r="X56" i="2"/>
  <c r="Y56" i="2" s="1"/>
  <c r="AA56" i="2" s="1"/>
  <c r="E56" i="2"/>
  <c r="X60" i="2"/>
  <c r="Y60" i="2" s="1"/>
  <c r="AA60" i="2" s="1"/>
  <c r="E60" i="2"/>
  <c r="N8" i="2"/>
  <c r="N12" i="2"/>
  <c r="N16" i="2"/>
  <c r="N20" i="2"/>
  <c r="N24" i="2"/>
  <c r="N28" i="2"/>
  <c r="N32" i="2"/>
  <c r="N36" i="2"/>
  <c r="N40" i="2"/>
  <c r="N44" i="2"/>
  <c r="N48" i="2"/>
  <c r="N52" i="2"/>
  <c r="N56" i="2"/>
  <c r="N60" i="2"/>
  <c r="Z30" i="2" l="1"/>
  <c r="Z42" i="2"/>
  <c r="Z50" i="2"/>
  <c r="Z38" i="2"/>
  <c r="Z10" i="2"/>
  <c r="Z46" i="2"/>
  <c r="Z15" i="2"/>
  <c r="Z17" i="2"/>
  <c r="Z33" i="2"/>
  <c r="Z35" i="2"/>
  <c r="Z49" i="2"/>
  <c r="Z26" i="2"/>
  <c r="Z53" i="2"/>
  <c r="Z58" i="2"/>
  <c r="Z54" i="2"/>
  <c r="Z57" i="2"/>
  <c r="Z31" i="2"/>
  <c r="Z9" i="2"/>
  <c r="Z18" i="2"/>
  <c r="Z21" i="2"/>
  <c r="Z25" i="2"/>
  <c r="Z34" i="2"/>
  <c r="S30" i="2"/>
  <c r="S18" i="2"/>
  <c r="S9" i="2"/>
  <c r="Z27" i="2"/>
  <c r="Z55" i="2"/>
  <c r="Z23" i="2"/>
  <c r="Z14" i="2"/>
  <c r="Z43" i="2"/>
  <c r="Z59" i="2"/>
  <c r="Z37" i="2"/>
  <c r="Z48" i="2"/>
  <c r="Z45" i="2"/>
  <c r="Z24" i="2"/>
  <c r="Z51" i="2"/>
  <c r="S52" i="2"/>
  <c r="S36" i="2"/>
  <c r="S20" i="2"/>
  <c r="S11" i="2"/>
  <c r="S58" i="2"/>
  <c r="S42" i="2"/>
  <c r="S10" i="2"/>
  <c r="S53" i="2"/>
  <c r="S21" i="2"/>
  <c r="Z56" i="2"/>
  <c r="S48" i="2"/>
  <c r="S32" i="2"/>
  <c r="S16" i="2"/>
  <c r="S55" i="2"/>
  <c r="S39" i="2"/>
  <c r="S23" i="2"/>
  <c r="S38" i="2"/>
  <c r="S22" i="2"/>
  <c r="S25" i="2"/>
  <c r="Z47" i="2"/>
  <c r="S51" i="2"/>
  <c r="S35" i="2"/>
  <c r="S19" i="2"/>
  <c r="S17" i="2"/>
  <c r="Z41" i="2"/>
  <c r="Z20" i="2"/>
  <c r="S15" i="2"/>
  <c r="Z22" i="2"/>
  <c r="Z12" i="2"/>
  <c r="S59" i="2"/>
  <c r="S43" i="2"/>
  <c r="S27" i="2"/>
  <c r="S26" i="2"/>
  <c r="S37" i="2"/>
  <c r="Z29" i="2"/>
  <c r="Z32" i="2"/>
  <c r="Z28" i="2"/>
  <c r="BP28" i="2"/>
  <c r="BP24" i="2"/>
  <c r="BP27" i="2"/>
  <c r="BS20" i="2"/>
  <c r="BP30" i="2"/>
  <c r="BP31" i="2"/>
  <c r="BP29" i="2"/>
  <c r="BS22" i="2"/>
  <c r="BP25" i="2"/>
  <c r="BP26" i="2"/>
  <c r="BS21" i="2"/>
  <c r="BS19" i="2"/>
  <c r="S54" i="2"/>
  <c r="S57" i="2"/>
  <c r="S41" i="2"/>
  <c r="S13" i="2"/>
  <c r="Z16" i="2"/>
  <c r="Z11" i="2"/>
  <c r="Z36" i="2"/>
  <c r="BP39" i="2"/>
  <c r="BP37" i="2"/>
  <c r="BS26" i="2"/>
  <c r="BP36" i="2"/>
  <c r="BP34" i="2"/>
  <c r="BS27" i="2"/>
  <c r="BP38" i="2"/>
  <c r="BS31" i="2"/>
  <c r="BS25" i="2"/>
  <c r="BP42" i="2"/>
  <c r="BS29" i="2"/>
  <c r="BP40" i="2"/>
  <c r="BS30" i="2"/>
  <c r="BP43" i="2"/>
  <c r="BP41" i="2"/>
  <c r="BP33" i="2"/>
  <c r="BS28" i="2"/>
  <c r="BP35" i="2"/>
  <c r="BS24" i="2"/>
  <c r="Z40" i="2"/>
  <c r="Z13" i="2"/>
  <c r="Z19" i="2"/>
  <c r="Z39" i="2"/>
  <c r="Z44" i="2"/>
  <c r="S60" i="2"/>
  <c r="S44" i="2"/>
  <c r="S28" i="2"/>
  <c r="S12" i="2"/>
  <c r="S50" i="2"/>
  <c r="S34" i="2"/>
  <c r="S49" i="2"/>
  <c r="S33" i="2"/>
  <c r="Z52" i="2"/>
  <c r="BS48" i="2"/>
  <c r="BS47" i="2"/>
  <c r="BS53" i="2"/>
  <c r="BS51" i="2"/>
  <c r="BS55" i="2"/>
  <c r="BS57" i="2"/>
  <c r="BS45" i="2"/>
  <c r="BS59" i="2"/>
  <c r="BS49" i="2"/>
  <c r="BS52" i="2"/>
  <c r="BS50" i="2"/>
  <c r="BS58" i="2"/>
  <c r="BS46" i="2"/>
  <c r="BS54" i="2"/>
  <c r="BS56" i="2"/>
  <c r="BP58" i="2"/>
  <c r="BP56" i="2"/>
  <c r="BP46" i="2"/>
  <c r="BS41" i="2"/>
  <c r="BP53" i="2"/>
  <c r="BS40" i="2"/>
  <c r="BS34" i="2"/>
  <c r="BP49" i="2"/>
  <c r="BS42" i="2"/>
  <c r="BS38" i="2"/>
  <c r="BP51" i="2"/>
  <c r="BP45" i="2"/>
  <c r="BP54" i="2"/>
  <c r="BS43" i="2"/>
  <c r="BS33" i="2"/>
  <c r="BS36" i="2"/>
  <c r="BP59" i="2"/>
  <c r="BT59" i="2" s="1"/>
  <c r="BP57" i="2"/>
  <c r="BP55" i="2"/>
  <c r="BP47" i="2"/>
  <c r="BS39" i="2"/>
  <c r="BP52" i="2"/>
  <c r="BP50" i="2"/>
  <c r="BP48" i="2"/>
  <c r="BS37" i="2"/>
  <c r="BS35" i="2"/>
  <c r="BT35" i="2" s="1"/>
  <c r="Z8" i="2"/>
  <c r="Z60" i="2"/>
  <c r="BP20" i="2"/>
  <c r="BP21" i="2"/>
  <c r="BP19" i="2"/>
  <c r="BP22" i="2"/>
  <c r="S56" i="2"/>
  <c r="S40" i="2"/>
  <c r="S24" i="2"/>
  <c r="S8" i="2"/>
  <c r="S47" i="2"/>
  <c r="S31" i="2"/>
  <c r="S46" i="2"/>
  <c r="S14" i="2"/>
  <c r="S45" i="2"/>
  <c r="S29" i="2"/>
  <c r="BT48" i="2" l="1"/>
  <c r="BT47" i="2"/>
  <c r="BT20" i="2"/>
  <c r="BW20" i="2" s="1"/>
  <c r="BT49" i="2"/>
  <c r="BV49" i="2" s="1"/>
  <c r="BT19" i="2"/>
  <c r="BW19" i="2" s="1"/>
  <c r="BT31" i="2"/>
  <c r="BW31" i="2" s="1"/>
  <c r="BT50" i="2"/>
  <c r="BV50" i="2" s="1"/>
  <c r="BT33" i="2"/>
  <c r="BW33" i="2" s="1"/>
  <c r="BT41" i="2"/>
  <c r="BT26" i="2"/>
  <c r="BW26" i="2" s="1"/>
  <c r="BT52" i="2"/>
  <c r="BW52" i="2" s="1"/>
  <c r="BT24" i="2"/>
  <c r="BW24" i="2" s="1"/>
  <c r="BT53" i="2"/>
  <c r="BV53" i="2" s="1"/>
  <c r="BT25" i="2"/>
  <c r="BW25" i="2" s="1"/>
  <c r="BT28" i="2"/>
  <c r="BW28" i="2" s="1"/>
  <c r="BT22" i="2"/>
  <c r="BW22" i="2" s="1"/>
  <c r="BT55" i="2"/>
  <c r="BT40" i="2"/>
  <c r="BW40" i="2" s="1"/>
  <c r="BT29" i="2"/>
  <c r="BV29" i="2" s="1"/>
  <c r="BT57" i="2"/>
  <c r="BW57" i="2" s="1"/>
  <c r="BT56" i="2"/>
  <c r="BW56" i="2" s="1"/>
  <c r="BT21" i="2"/>
  <c r="BW21" i="2" s="1"/>
  <c r="BT30" i="2"/>
  <c r="BW30" i="2" s="1"/>
  <c r="BT45" i="2"/>
  <c r="BW45" i="2" s="1"/>
  <c r="BT43" i="2"/>
  <c r="BW43" i="2" s="1"/>
  <c r="BT27" i="2"/>
  <c r="BW27" i="2" s="1"/>
  <c r="BT51" i="2"/>
  <c r="BW51" i="2" s="1"/>
  <c r="BT46" i="2"/>
  <c r="BW46" i="2" s="1"/>
  <c r="BT34" i="2"/>
  <c r="BW34" i="2" s="1"/>
  <c r="BT36" i="2"/>
  <c r="BW36" i="2" s="1"/>
  <c r="BT42" i="2"/>
  <c r="BV42" i="2" s="1"/>
  <c r="BT58" i="2"/>
  <c r="BW58" i="2" s="1"/>
  <c r="BT37" i="2"/>
  <c r="BW37" i="2" s="1"/>
  <c r="BT54" i="2"/>
  <c r="BW54" i="2" s="1"/>
  <c r="BT39" i="2"/>
  <c r="BV39" i="2" s="1"/>
  <c r="BT38" i="2"/>
  <c r="BW38" i="2" s="1"/>
  <c r="BW48" i="2"/>
  <c r="BV48" i="2"/>
  <c r="BW35" i="2"/>
  <c r="BV35" i="2"/>
  <c r="BW41" i="2"/>
  <c r="BV41" i="2"/>
  <c r="BW59" i="2"/>
  <c r="BV59" i="2"/>
  <c r="BV34" i="2"/>
  <c r="T30" i="2"/>
  <c r="AD30" i="2"/>
  <c r="T56" i="2"/>
  <c r="AD56" i="2"/>
  <c r="T17" i="2"/>
  <c r="AD17" i="2"/>
  <c r="T12" i="2"/>
  <c r="AD12" i="2"/>
  <c r="T23" i="2"/>
  <c r="AD23" i="2"/>
  <c r="T58" i="2"/>
  <c r="AD58" i="2"/>
  <c r="T46" i="2"/>
  <c r="AD46" i="2"/>
  <c r="T49" i="2"/>
  <c r="AD49" i="2"/>
  <c r="T28" i="2"/>
  <c r="AD28" i="2"/>
  <c r="T13" i="2"/>
  <c r="AD13" i="2"/>
  <c r="T39" i="2"/>
  <c r="AD39" i="2"/>
  <c r="T11" i="2"/>
  <c r="AD11" i="2"/>
  <c r="T15" i="2"/>
  <c r="AD15" i="2"/>
  <c r="T18" i="2"/>
  <c r="AD18" i="2"/>
  <c r="T44" i="2"/>
  <c r="AD44" i="2"/>
  <c r="T41" i="2"/>
  <c r="AD41" i="2"/>
  <c r="T55" i="2"/>
  <c r="AD55" i="2"/>
  <c r="T21" i="2"/>
  <c r="AD21" i="2"/>
  <c r="T27" i="2"/>
  <c r="AD27" i="2"/>
  <c r="T31" i="2"/>
  <c r="AD31" i="2"/>
  <c r="T34" i="2"/>
  <c r="AD34" i="2"/>
  <c r="T60" i="2"/>
  <c r="AD60" i="2"/>
  <c r="T25" i="2"/>
  <c r="AD25" i="2"/>
  <c r="T16" i="2"/>
  <c r="AD16" i="2"/>
  <c r="T53" i="2"/>
  <c r="AD53" i="2"/>
  <c r="T43" i="2"/>
  <c r="AD43" i="2"/>
  <c r="T29" i="2"/>
  <c r="AD29" i="2"/>
  <c r="T47" i="2"/>
  <c r="AD47" i="2"/>
  <c r="T50" i="2"/>
  <c r="AD50" i="2"/>
  <c r="T57" i="2"/>
  <c r="AD57" i="2"/>
  <c r="T32" i="2"/>
  <c r="AD32" i="2"/>
  <c r="T37" i="2"/>
  <c r="AD37" i="2"/>
  <c r="T59" i="2"/>
  <c r="AD59" i="2"/>
  <c r="BW47" i="2"/>
  <c r="BV47" i="2"/>
  <c r="T9" i="2"/>
  <c r="AD9" i="2"/>
  <c r="T8" i="2"/>
  <c r="AD8" i="2"/>
  <c r="T19" i="2"/>
  <c r="AD19" i="2"/>
  <c r="T22" i="2"/>
  <c r="AD22" i="2"/>
  <c r="T48" i="2"/>
  <c r="AD48" i="2"/>
  <c r="T10" i="2"/>
  <c r="AD10" i="2"/>
  <c r="T20" i="2"/>
  <c r="AD20" i="2"/>
  <c r="BW55" i="2"/>
  <c r="BV55" i="2"/>
  <c r="T45" i="2"/>
  <c r="AD45" i="2"/>
  <c r="T24" i="2"/>
  <c r="AD24" i="2"/>
  <c r="T35" i="2"/>
  <c r="AD35" i="2"/>
  <c r="T38" i="2"/>
  <c r="AD38" i="2"/>
  <c r="T26" i="2"/>
  <c r="AD26" i="2"/>
  <c r="T36" i="2"/>
  <c r="AD36" i="2"/>
  <c r="T14" i="2"/>
  <c r="AD14" i="2"/>
  <c r="T40" i="2"/>
  <c r="AD40" i="2"/>
  <c r="T33" i="2"/>
  <c r="AD33" i="2"/>
  <c r="T51" i="2"/>
  <c r="AD51" i="2"/>
  <c r="T54" i="2"/>
  <c r="AD54" i="2"/>
  <c r="T42" i="2"/>
  <c r="AD42" i="2"/>
  <c r="T52" i="2"/>
  <c r="AD52" i="2"/>
  <c r="BV20" i="2" l="1"/>
  <c r="BV31" i="2"/>
  <c r="BW49" i="2"/>
  <c r="BV19" i="2"/>
  <c r="BW53" i="2"/>
  <c r="BV56" i="2"/>
  <c r="BV21" i="2"/>
  <c r="BV28" i="2"/>
  <c r="BV36" i="2"/>
  <c r="BW50" i="2"/>
  <c r="CB50" i="2" s="1"/>
  <c r="BV30" i="2"/>
  <c r="BW42" i="2"/>
  <c r="BV40" i="2"/>
  <c r="BV22" i="2"/>
  <c r="BV33" i="2"/>
  <c r="BV45" i="2"/>
  <c r="BV58" i="2"/>
  <c r="BW29" i="2"/>
  <c r="BV37" i="2"/>
  <c r="BV27" i="2"/>
  <c r="BV52" i="2"/>
  <c r="BV26" i="2"/>
  <c r="BV24" i="2"/>
  <c r="BV25" i="2"/>
  <c r="BV43" i="2"/>
  <c r="BV51" i="2"/>
  <c r="BW39" i="2"/>
  <c r="BX39" i="2" s="1"/>
  <c r="AE26" i="2"/>
  <c r="AR26" i="2" s="1"/>
  <c r="AE45" i="2"/>
  <c r="AR45" i="2" s="1"/>
  <c r="AE20" i="2"/>
  <c r="AS20" i="2" s="1"/>
  <c r="AE19" i="2"/>
  <c r="AG19" i="2" s="1"/>
  <c r="AE59" i="2"/>
  <c r="AR59" i="2" s="1"/>
  <c r="AE50" i="2"/>
  <c r="AR50" i="2" s="1"/>
  <c r="AE25" i="2"/>
  <c r="AR25" i="2" s="1"/>
  <c r="AE27" i="2"/>
  <c r="AG27" i="2" s="1"/>
  <c r="AE44" i="2"/>
  <c r="AG44" i="2" s="1"/>
  <c r="AE13" i="2"/>
  <c r="AS13" i="2" s="1"/>
  <c r="AE17" i="2"/>
  <c r="AR17" i="2" s="1"/>
  <c r="AE42" i="2"/>
  <c r="AS42" i="2" s="1"/>
  <c r="AE40" i="2"/>
  <c r="AS40" i="2" s="1"/>
  <c r="BV57" i="2"/>
  <c r="BV54" i="2"/>
  <c r="BV46" i="2"/>
  <c r="BV38" i="2"/>
  <c r="AE57" i="2"/>
  <c r="AR57" i="2" s="1"/>
  <c r="AE16" i="2"/>
  <c r="AR16" i="2" s="1"/>
  <c r="AE31" i="2"/>
  <c r="AG31" i="2" s="1"/>
  <c r="AE41" i="2"/>
  <c r="AS41" i="2" s="1"/>
  <c r="AE39" i="2"/>
  <c r="AS39" i="2" s="1"/>
  <c r="BX55" i="2"/>
  <c r="CC55" i="2" s="1"/>
  <c r="CB55" i="2"/>
  <c r="AE34" i="2"/>
  <c r="AE15" i="2"/>
  <c r="AE11" i="2"/>
  <c r="AE49" i="2"/>
  <c r="AE23" i="2"/>
  <c r="AE30" i="2"/>
  <c r="BX28" i="2"/>
  <c r="CC28" i="2" s="1"/>
  <c r="CB28" i="2"/>
  <c r="BX57" i="2"/>
  <c r="CC57" i="2" s="1"/>
  <c r="CB57" i="2"/>
  <c r="BX19" i="2"/>
  <c r="CC19" i="2" s="1"/>
  <c r="CB19" i="2"/>
  <c r="BX22" i="2"/>
  <c r="CC22" i="2" s="1"/>
  <c r="CB22" i="2"/>
  <c r="BX37" i="2"/>
  <c r="CC37" i="2" s="1"/>
  <c r="CB37" i="2"/>
  <c r="AE29" i="2"/>
  <c r="AE51" i="2"/>
  <c r="AE48" i="2"/>
  <c r="AE33" i="2"/>
  <c r="AE24" i="2"/>
  <c r="BX30" i="2"/>
  <c r="CC30" i="2" s="1"/>
  <c r="CB30" i="2"/>
  <c r="AE22" i="2"/>
  <c r="BX47" i="2"/>
  <c r="CC47" i="2" s="1"/>
  <c r="CB47" i="2"/>
  <c r="BX26" i="2"/>
  <c r="CC26" i="2" s="1"/>
  <c r="CB26" i="2"/>
  <c r="CC24" i="2"/>
  <c r="BX24" i="2"/>
  <c r="CB24" i="2"/>
  <c r="AE46" i="2"/>
  <c r="AE12" i="2"/>
  <c r="BX53" i="2"/>
  <c r="CC53" i="2" s="1"/>
  <c r="CB53" i="2"/>
  <c r="BX25" i="2"/>
  <c r="CC25" i="2" s="1"/>
  <c r="CB25" i="2"/>
  <c r="BX34" i="2"/>
  <c r="CC34" i="2" s="1"/>
  <c r="CB34" i="2"/>
  <c r="BX59" i="2"/>
  <c r="CC59" i="2" s="1"/>
  <c r="CB59" i="2"/>
  <c r="BX56" i="2"/>
  <c r="CC56" i="2" s="1"/>
  <c r="CB56" i="2"/>
  <c r="BX54" i="2"/>
  <c r="CC54" i="2" s="1"/>
  <c r="CB54" i="2"/>
  <c r="AE53" i="2"/>
  <c r="AE52" i="2"/>
  <c r="AE36" i="2"/>
  <c r="AE35" i="2"/>
  <c r="AE55" i="2"/>
  <c r="AG26" i="2"/>
  <c r="AR19" i="2"/>
  <c r="BX21" i="2"/>
  <c r="CC21" i="2" s="1"/>
  <c r="CB21" i="2"/>
  <c r="BX31" i="2"/>
  <c r="CC31" i="2" s="1"/>
  <c r="CB31" i="2"/>
  <c r="BX20" i="2"/>
  <c r="CC20" i="2" s="1"/>
  <c r="CB20" i="2"/>
  <c r="BX36" i="2"/>
  <c r="CC36" i="2" s="1"/>
  <c r="CB36" i="2"/>
  <c r="BX46" i="2"/>
  <c r="CC46" i="2" s="1"/>
  <c r="CB46" i="2"/>
  <c r="BX27" i="2"/>
  <c r="CC27" i="2" s="1"/>
  <c r="CB27" i="2"/>
  <c r="BX38" i="2"/>
  <c r="CC38" i="2" s="1"/>
  <c r="CB38" i="2"/>
  <c r="BX33" i="2"/>
  <c r="CC33" i="2" s="1"/>
  <c r="CB33" i="2"/>
  <c r="AE9" i="2"/>
  <c r="BX52" i="2"/>
  <c r="CC52" i="2" s="1"/>
  <c r="CB52" i="2"/>
  <c r="AE32" i="2"/>
  <c r="AE54" i="2"/>
  <c r="AE14" i="2"/>
  <c r="AE38" i="2"/>
  <c r="BX45" i="2"/>
  <c r="CC45" i="2" s="1"/>
  <c r="CB45" i="2"/>
  <c r="AE10" i="2"/>
  <c r="AE8" i="2"/>
  <c r="AE37" i="2"/>
  <c r="AE47" i="2"/>
  <c r="AE43" i="2"/>
  <c r="AE60" i="2"/>
  <c r="AE21" i="2"/>
  <c r="AE18" i="2"/>
  <c r="BX49" i="2"/>
  <c r="CC49" i="2" s="1"/>
  <c r="CB49" i="2"/>
  <c r="AE28" i="2"/>
  <c r="AE58" i="2"/>
  <c r="AE56" i="2"/>
  <c r="BX58" i="2"/>
  <c r="CC58" i="2" s="1"/>
  <c r="CB58" i="2"/>
  <c r="BX40" i="2"/>
  <c r="CC40" i="2" s="1"/>
  <c r="CB40" i="2"/>
  <c r="BX51" i="2"/>
  <c r="CC51" i="2" s="1"/>
  <c r="CB51" i="2"/>
  <c r="BX43" i="2"/>
  <c r="CC43" i="2" s="1"/>
  <c r="CB43" i="2"/>
  <c r="BX41" i="2"/>
  <c r="CC41" i="2" s="1"/>
  <c r="CB41" i="2"/>
  <c r="BX35" i="2"/>
  <c r="CC35" i="2" s="1"/>
  <c r="CB35" i="2"/>
  <c r="BX48" i="2"/>
  <c r="CC48" i="2" s="1"/>
  <c r="CB48" i="2"/>
  <c r="AT26" i="2" a="1"/>
  <c r="AU42" i="2" a="1"/>
  <c r="AT50" i="2" a="1"/>
  <c r="AT25" i="2" a="1"/>
  <c r="AT45" i="2" a="1"/>
  <c r="AU13" i="2" a="1"/>
  <c r="AT17" i="2" a="1"/>
  <c r="AT59" i="2" a="1"/>
  <c r="AU39" i="2" a="1"/>
  <c r="AT57" i="2" a="1"/>
  <c r="AU41" i="2" a="1"/>
  <c r="AU20" i="2" a="1"/>
  <c r="AT16" i="2" a="1"/>
  <c r="AT19" i="2" a="1"/>
  <c r="AU40" i="2" a="1"/>
  <c r="AU42" i="2" l="1"/>
  <c r="AT26" i="2"/>
  <c r="AT59" i="2"/>
  <c r="AT17" i="2"/>
  <c r="AU13" i="2"/>
  <c r="AT45" i="2"/>
  <c r="AT25" i="2"/>
  <c r="AT50" i="2"/>
  <c r="AT57" i="2"/>
  <c r="AU39" i="2"/>
  <c r="AG13" i="2"/>
  <c r="AR13" i="2"/>
  <c r="AU20" i="2"/>
  <c r="AU41" i="2"/>
  <c r="AU40" i="2"/>
  <c r="AT19" i="2"/>
  <c r="AT16" i="2"/>
  <c r="AR42" i="2"/>
  <c r="AS19" i="2"/>
  <c r="AS31" i="2"/>
  <c r="AG42" i="2"/>
  <c r="AR40" i="2"/>
  <c r="BX50" i="2"/>
  <c r="CC50" i="2" s="1"/>
  <c r="CB39" i="2"/>
  <c r="CB42" i="2"/>
  <c r="AG57" i="2"/>
  <c r="CB29" i="2"/>
  <c r="AG45" i="2"/>
  <c r="BX42" i="2"/>
  <c r="CC42" i="2" s="1"/>
  <c r="AS57" i="2"/>
  <c r="BX29" i="2"/>
  <c r="CC29" i="2" s="1"/>
  <c r="AR44" i="2"/>
  <c r="AS45" i="2"/>
  <c r="AG40" i="2"/>
  <c r="CC39" i="2"/>
  <c r="AR27" i="2"/>
  <c r="AG20" i="2"/>
  <c r="AG16" i="2"/>
  <c r="AS26" i="2"/>
  <c r="AS17" i="2"/>
  <c r="AS27" i="2"/>
  <c r="AR20" i="2"/>
  <c r="AS16" i="2"/>
  <c r="AS44" i="2"/>
  <c r="AG17" i="2"/>
  <c r="AG39" i="2"/>
  <c r="AR39" i="2"/>
  <c r="AS59" i="2"/>
  <c r="AR31" i="2"/>
  <c r="AG25" i="2"/>
  <c r="AS25" i="2"/>
  <c r="AG59" i="2"/>
  <c r="AG50" i="2"/>
  <c r="AS50" i="2"/>
  <c r="AG41" i="2"/>
  <c r="AR41" i="2"/>
  <c r="AS21" i="2"/>
  <c r="AR21" i="2"/>
  <c r="AG21" i="2"/>
  <c r="AS35" i="2"/>
  <c r="AR35" i="2"/>
  <c r="AG35" i="2"/>
  <c r="AS33" i="2"/>
  <c r="AR33" i="2"/>
  <c r="AG33" i="2"/>
  <c r="AS49" i="2"/>
  <c r="AR49" i="2"/>
  <c r="AG49" i="2"/>
  <c r="AS23" i="2"/>
  <c r="AR23" i="2"/>
  <c r="AG23" i="2"/>
  <c r="AS56" i="2"/>
  <c r="AR56" i="2"/>
  <c r="AG56" i="2"/>
  <c r="AR60" i="2"/>
  <c r="AS60" i="2"/>
  <c r="AG60" i="2"/>
  <c r="AR36" i="2"/>
  <c r="AS36" i="2"/>
  <c r="AG36" i="2"/>
  <c r="AS12" i="2"/>
  <c r="AR12" i="2"/>
  <c r="AG12" i="2"/>
  <c r="AS48" i="2"/>
  <c r="AR48" i="2"/>
  <c r="AG48" i="2"/>
  <c r="AS11" i="2"/>
  <c r="AR11" i="2"/>
  <c r="AG11" i="2"/>
  <c r="AS32" i="2"/>
  <c r="AR32" i="2"/>
  <c r="AG32" i="2"/>
  <c r="AS43" i="2"/>
  <c r="AR43" i="2"/>
  <c r="AG43" i="2"/>
  <c r="AS52" i="2"/>
  <c r="AR52" i="2"/>
  <c r="AG52" i="2"/>
  <c r="AS46" i="2"/>
  <c r="AR46" i="2"/>
  <c r="AG46" i="2"/>
  <c r="AS51" i="2"/>
  <c r="AR51" i="2"/>
  <c r="AG51" i="2"/>
  <c r="AS15" i="2"/>
  <c r="AR15" i="2"/>
  <c r="AG15" i="2"/>
  <c r="AS24" i="2"/>
  <c r="AR24" i="2"/>
  <c r="AG24" i="2"/>
  <c r="AS58" i="2"/>
  <c r="AR58" i="2"/>
  <c r="AG58" i="2"/>
  <c r="AS38" i="2"/>
  <c r="AR38" i="2"/>
  <c r="AG38" i="2"/>
  <c r="AR28" i="2"/>
  <c r="AS28" i="2"/>
  <c r="AG28" i="2"/>
  <c r="AR47" i="2"/>
  <c r="AS47" i="2"/>
  <c r="AG47" i="2"/>
  <c r="AS14" i="2"/>
  <c r="AR14" i="2"/>
  <c r="AG14" i="2"/>
  <c r="AR53" i="2"/>
  <c r="AS53" i="2"/>
  <c r="AG53" i="2"/>
  <c r="AS22" i="2"/>
  <c r="AR22" i="2"/>
  <c r="AG22" i="2"/>
  <c r="AS29" i="2"/>
  <c r="AR29" i="2"/>
  <c r="AG29" i="2"/>
  <c r="AR34" i="2"/>
  <c r="AS34" i="2"/>
  <c r="AG34" i="2"/>
  <c r="AR37" i="2"/>
  <c r="AS37" i="2"/>
  <c r="AG37" i="2"/>
  <c r="AS54" i="2"/>
  <c r="AR54" i="2"/>
  <c r="AG54" i="2"/>
  <c r="AS18" i="2"/>
  <c r="AR18" i="2"/>
  <c r="AG18" i="2"/>
  <c r="AR9" i="2"/>
  <c r="AS9" i="2"/>
  <c r="AG9" i="2"/>
  <c r="AS55" i="2"/>
  <c r="AR55" i="2"/>
  <c r="AG55" i="2"/>
  <c r="AS8" i="2"/>
  <c r="AR8" i="2"/>
  <c r="AG8" i="2"/>
  <c r="AS10" i="2"/>
  <c r="AR10" i="2"/>
  <c r="AG10" i="2"/>
  <c r="AS30" i="2"/>
  <c r="AR30" i="2"/>
  <c r="AG30" i="2"/>
  <c r="AU54" i="2" a="1"/>
  <c r="AT18" i="2" a="1"/>
  <c r="AU14" i="2" a="1"/>
  <c r="AT42" i="2" a="1"/>
  <c r="AT15" i="2" a="1"/>
  <c r="AU38" i="2" a="1"/>
  <c r="AT37" i="2" a="1"/>
  <c r="AT14" i="2" a="1"/>
  <c r="AU18" i="2" a="1"/>
  <c r="AU46" i="2" a="1"/>
  <c r="AT38" i="2" a="1"/>
  <c r="AU37" i="2" a="1"/>
  <c r="AT46" i="2" a="1"/>
  <c r="AT33" i="2" a="1"/>
  <c r="AT10" i="2" a="1"/>
  <c r="AT54" i="2" a="1"/>
  <c r="AU58" i="2" a="1"/>
  <c r="AU34" i="2" a="1"/>
  <c r="AU33" i="2" a="1"/>
  <c r="AT34" i="2" a="1"/>
  <c r="AU21" i="2" a="1"/>
  <c r="AU15" i="2" a="1"/>
  <c r="AU22" i="2" a="1"/>
  <c r="AT21" i="2" a="1"/>
  <c r="AU49" i="2" a="1"/>
  <c r="AT22" i="2" a="1"/>
  <c r="AU10" i="2" a="1"/>
  <c r="AT49" i="2" a="1"/>
  <c r="AT58" i="2" a="1"/>
  <c r="AU26" i="2" a="1"/>
  <c r="AT13" i="2" a="1"/>
  <c r="AT27" i="2" a="1"/>
  <c r="AT32" i="2" a="1"/>
  <c r="AU57" i="2" a="1"/>
  <c r="AU50" i="2" a="1"/>
  <c r="AU35" i="2" a="1"/>
  <c r="AT39" i="2" a="1"/>
  <c r="AU30" i="2" a="1"/>
  <c r="AU17" i="2" a="1"/>
  <c r="AT23" i="2" a="1"/>
  <c r="AU45" i="2" a="1"/>
  <c r="AU27" i="2" a="1"/>
  <c r="AT47" i="2" a="1"/>
  <c r="AT30" i="2" a="1"/>
  <c r="AU25" i="2" a="1"/>
  <c r="AU12" i="2" a="1"/>
  <c r="AU47" i="2" a="1"/>
  <c r="AU51" i="2" a="1"/>
  <c r="AU59" i="2" a="1"/>
  <c r="AT12" i="2" a="1"/>
  <c r="AT35" i="2" a="1"/>
  <c r="AT48" i="2" a="1"/>
  <c r="AU28" i="2" a="1"/>
  <c r="AT51" i="2" a="1"/>
  <c r="AU32" i="2" a="1"/>
  <c r="AT8" i="2" a="1"/>
  <c r="AU36" i="2" a="1"/>
  <c r="AU48" i="2" a="1"/>
  <c r="AU29" i="2" a="1"/>
  <c r="AU19" i="2" a="1"/>
  <c r="AT44" i="2" a="1"/>
  <c r="AU23" i="2" a="1"/>
  <c r="AU43" i="2" a="1"/>
  <c r="AT28" i="2" a="1"/>
  <c r="AT29" i="2" a="1"/>
  <c r="AT36" i="2" a="1"/>
  <c r="AT43" i="2" a="1"/>
  <c r="AU44" i="2" a="1"/>
  <c r="AU8" i="2" a="1"/>
  <c r="AT53" i="2" a="1"/>
  <c r="AU11" i="2" a="1"/>
  <c r="AT11" i="2" a="1"/>
  <c r="AT9" i="2" a="1"/>
  <c r="AT55" i="2" a="1"/>
  <c r="AT31" i="2" a="1"/>
  <c r="AU9" i="2" a="1"/>
  <c r="AT40" i="2" a="1"/>
  <c r="AT52" i="2" a="1"/>
  <c r="AT20" i="2" a="1"/>
  <c r="AU52" i="2" a="1"/>
  <c r="AU16" i="2" a="1"/>
  <c r="AT60" i="2" a="1"/>
  <c r="AU31" i="2" a="1"/>
  <c r="AU60" i="2" a="1"/>
  <c r="AU24" i="2" a="1"/>
  <c r="AU55" i="2" a="1"/>
  <c r="AT41" i="2" a="1"/>
  <c r="AT24" i="2" a="1"/>
  <c r="AU53" i="2" a="1"/>
  <c r="AU56" i="2" a="1"/>
  <c r="AT56" i="2" a="1"/>
  <c r="AU54" i="2" l="1"/>
  <c r="AT34" i="2"/>
  <c r="AU33" i="2"/>
  <c r="AU34" i="2"/>
  <c r="AU58" i="2"/>
  <c r="AT54" i="2"/>
  <c r="AT10" i="2"/>
  <c r="AT33" i="2"/>
  <c r="AT46" i="2"/>
  <c r="AU37" i="2"/>
  <c r="AT38" i="2"/>
  <c r="AU46" i="2"/>
  <c r="AU18" i="2"/>
  <c r="AT14" i="2"/>
  <c r="AT37" i="2"/>
  <c r="AU38" i="2"/>
  <c r="AT15" i="2"/>
  <c r="AT42" i="2"/>
  <c r="AV42" i="2" s="1"/>
  <c r="AU14" i="2"/>
  <c r="AT18" i="2"/>
  <c r="AU26" i="2"/>
  <c r="BG26" i="2" s="1"/>
  <c r="BK26" i="2" s="1"/>
  <c r="AT58" i="2"/>
  <c r="AT49" i="2"/>
  <c r="AU10" i="2"/>
  <c r="AT22" i="2"/>
  <c r="AU49" i="2"/>
  <c r="AT21" i="2"/>
  <c r="AU22" i="2"/>
  <c r="AU15" i="2"/>
  <c r="AU21" i="2"/>
  <c r="AU47" i="2"/>
  <c r="AU12" i="2"/>
  <c r="AU25" i="2"/>
  <c r="BG25" i="2" s="1"/>
  <c r="BK25" i="2" s="1"/>
  <c r="AT30" i="2"/>
  <c r="AT47" i="2"/>
  <c r="AU27" i="2"/>
  <c r="AW27" i="2" s="1"/>
  <c r="AU45" i="2"/>
  <c r="AT23" i="2"/>
  <c r="AU17" i="2"/>
  <c r="AW17" i="2" s="1"/>
  <c r="AU30" i="2"/>
  <c r="AT39" i="2"/>
  <c r="AV39" i="2" s="1"/>
  <c r="AU35" i="2"/>
  <c r="AU50" i="2"/>
  <c r="BG50" i="2" s="1"/>
  <c r="BK50" i="2" s="1"/>
  <c r="AU57" i="2"/>
  <c r="AT32" i="2"/>
  <c r="AT27" i="2"/>
  <c r="AT13" i="2"/>
  <c r="BF13" i="2" s="1"/>
  <c r="BJ13" i="2" s="1"/>
  <c r="AT51" i="2"/>
  <c r="AU28" i="2"/>
  <c r="AT48" i="2"/>
  <c r="AT35" i="2"/>
  <c r="AT12" i="2"/>
  <c r="AU59" i="2"/>
  <c r="AW59" i="2" s="1"/>
  <c r="AU51" i="2"/>
  <c r="AU8" i="2"/>
  <c r="AU44" i="2"/>
  <c r="BG44" i="2" s="1"/>
  <c r="BK44" i="2" s="1"/>
  <c r="AT43" i="2"/>
  <c r="AT36" i="2"/>
  <c r="AT29" i="2"/>
  <c r="AT28" i="2"/>
  <c r="AU43" i="2"/>
  <c r="AU23" i="2"/>
  <c r="AT44" i="2"/>
  <c r="BF44" i="2" s="1"/>
  <c r="BJ44" i="2" s="1"/>
  <c r="AU19" i="2"/>
  <c r="AW19" i="2" s="1"/>
  <c r="AU29" i="2"/>
  <c r="AU48" i="2"/>
  <c r="AU36" i="2"/>
  <c r="AT8" i="2"/>
  <c r="AU32" i="2"/>
  <c r="AU52" i="2"/>
  <c r="AT20" i="2"/>
  <c r="BF20" i="2" s="1"/>
  <c r="BJ20" i="2" s="1"/>
  <c r="AT52" i="2"/>
  <c r="AT40" i="2"/>
  <c r="AV40" i="2" s="1"/>
  <c r="AU9" i="2"/>
  <c r="AT31" i="2"/>
  <c r="AV31" i="2" s="1"/>
  <c r="AT55" i="2"/>
  <c r="AT9" i="2"/>
  <c r="AT11" i="2"/>
  <c r="AU11" i="2"/>
  <c r="AT53" i="2"/>
  <c r="AT56" i="2"/>
  <c r="AU56" i="2"/>
  <c r="AU53" i="2"/>
  <c r="AT24" i="2"/>
  <c r="AT41" i="2"/>
  <c r="AV41" i="2" s="1"/>
  <c r="AU55" i="2"/>
  <c r="AU24" i="2"/>
  <c r="AU60" i="2"/>
  <c r="AU31" i="2"/>
  <c r="AW31" i="2" s="1"/>
  <c r="AT60" i="2"/>
  <c r="AU16" i="2"/>
  <c r="BG16" i="2" s="1"/>
  <c r="BK16" i="2" s="1"/>
  <c r="BG57" i="2"/>
  <c r="BK57" i="2" s="1"/>
  <c r="AV27" i="2"/>
  <c r="BF45" i="2"/>
  <c r="BJ45" i="2" s="1"/>
  <c r="AV45" i="2"/>
  <c r="BF17" i="2"/>
  <c r="BJ17" i="2" s="1"/>
  <c r="AV17" i="2"/>
  <c r="BF16" i="2"/>
  <c r="BJ16" i="2" s="1"/>
  <c r="AV16" i="2"/>
  <c r="BG40" i="2"/>
  <c r="BK40" i="2" s="1"/>
  <c r="AW40" i="2"/>
  <c r="BG13" i="2"/>
  <c r="BK13" i="2" s="1"/>
  <c r="AW13" i="2"/>
  <c r="BF50" i="2"/>
  <c r="BJ50" i="2" s="1"/>
  <c r="AV50" i="2"/>
  <c r="BF59" i="2"/>
  <c r="BJ59" i="2" s="1"/>
  <c r="AV59" i="2"/>
  <c r="BG42" i="2"/>
  <c r="BK42" i="2" s="1"/>
  <c r="AW42" i="2"/>
  <c r="BF25" i="2"/>
  <c r="BJ25" i="2" s="1"/>
  <c r="AV25" i="2"/>
  <c r="BF57" i="2"/>
  <c r="BJ57" i="2" s="1"/>
  <c r="AV57" i="2"/>
  <c r="BF19" i="2"/>
  <c r="BJ19" i="2" s="1"/>
  <c r="AV19" i="2"/>
  <c r="BG45" i="2"/>
  <c r="BK45" i="2" s="1"/>
  <c r="AW45" i="2"/>
  <c r="BG39" i="2"/>
  <c r="BK39" i="2" s="1"/>
  <c r="AW39" i="2"/>
  <c r="BG20" i="2"/>
  <c r="BK20" i="2" s="1"/>
  <c r="AW20" i="2"/>
  <c r="BF26" i="2"/>
  <c r="BJ26" i="2" s="1"/>
  <c r="AV26" i="2"/>
  <c r="BG41" i="2"/>
  <c r="BK41" i="2" s="1"/>
  <c r="AW41" i="2"/>
  <c r="BG19" i="2" l="1"/>
  <c r="BK19" i="2" s="1"/>
  <c r="BF42" i="2"/>
  <c r="BJ42" i="2" s="1"/>
  <c r="AW25" i="2"/>
  <c r="BG31" i="2"/>
  <c r="BK31" i="2" s="1"/>
  <c r="AV13" i="2"/>
  <c r="BF40" i="2"/>
  <c r="BJ40" i="2" s="1"/>
  <c r="AW16" i="2"/>
  <c r="AW50" i="2"/>
  <c r="BG27" i="2"/>
  <c r="BK27" i="2" s="1"/>
  <c r="BF39" i="2"/>
  <c r="BJ39" i="2" s="1"/>
  <c r="BF31" i="2"/>
  <c r="BJ31" i="2" s="1"/>
  <c r="AW44" i="2"/>
  <c r="AV44" i="2"/>
  <c r="BF27" i="2"/>
  <c r="BJ27" i="2" s="1"/>
  <c r="AW57" i="2"/>
  <c r="AW26" i="2"/>
  <c r="BG59" i="2"/>
  <c r="BK59" i="2" s="1"/>
  <c r="BG17" i="2"/>
  <c r="BK17" i="2" s="1"/>
  <c r="AV20" i="2"/>
  <c r="BF41" i="2"/>
  <c r="BJ41" i="2" s="1"/>
  <c r="BF32" i="2"/>
  <c r="BJ32" i="2" s="1"/>
  <c r="AV32" i="2"/>
  <c r="BG11" i="2"/>
  <c r="BK11" i="2" s="1"/>
  <c r="AW11" i="2"/>
  <c r="BG56" i="2"/>
  <c r="BK56" i="2" s="1"/>
  <c r="AW56" i="2"/>
  <c r="BG51" i="2"/>
  <c r="BK51" i="2" s="1"/>
  <c r="AW51" i="2"/>
  <c r="BG47" i="2"/>
  <c r="BK47" i="2" s="1"/>
  <c r="AW47" i="2"/>
  <c r="BF15" i="2"/>
  <c r="BJ15" i="2" s="1"/>
  <c r="AV15" i="2"/>
  <c r="BF28" i="2"/>
  <c r="BJ28" i="2" s="1"/>
  <c r="AV28" i="2"/>
  <c r="BG46" i="2"/>
  <c r="BK46" i="2" s="1"/>
  <c r="AW46" i="2"/>
  <c r="BF46" i="2"/>
  <c r="BJ46" i="2" s="1"/>
  <c r="AV46" i="2"/>
  <c r="BG36" i="2"/>
  <c r="BK36" i="2" s="1"/>
  <c r="AW36" i="2"/>
  <c r="BF33" i="2"/>
  <c r="BJ33" i="2" s="1"/>
  <c r="AV33" i="2"/>
  <c r="BF48" i="2"/>
  <c r="BJ48" i="2" s="1"/>
  <c r="AV48" i="2"/>
  <c r="BG15" i="2"/>
  <c r="BK15" i="2" s="1"/>
  <c r="AW15" i="2"/>
  <c r="BG32" i="2"/>
  <c r="BK32" i="2" s="1"/>
  <c r="AW32" i="2"/>
  <c r="BG23" i="2"/>
  <c r="BK23" i="2" s="1"/>
  <c r="AW23" i="2"/>
  <c r="BG48" i="2"/>
  <c r="BK48" i="2" s="1"/>
  <c r="AW48" i="2"/>
  <c r="BF35" i="2"/>
  <c r="BJ35" i="2" s="1"/>
  <c r="AV35" i="2"/>
  <c r="BF51" i="2"/>
  <c r="BJ51" i="2" s="1"/>
  <c r="AV51" i="2"/>
  <c r="BF11" i="2"/>
  <c r="BJ11" i="2" s="1"/>
  <c r="AV11" i="2"/>
  <c r="BG18" i="2"/>
  <c r="BK18" i="2" s="1"/>
  <c r="AW18" i="2"/>
  <c r="BG22" i="2"/>
  <c r="BK22" i="2" s="1"/>
  <c r="AW22" i="2"/>
  <c r="BG38" i="2"/>
  <c r="BK38" i="2" s="1"/>
  <c r="AW38" i="2"/>
  <c r="BF10" i="2"/>
  <c r="BJ10" i="2" s="1"/>
  <c r="AV10" i="2"/>
  <c r="BF38" i="2"/>
  <c r="BJ38" i="2" s="1"/>
  <c r="AV38" i="2"/>
  <c r="BG24" i="2"/>
  <c r="BK24" i="2" s="1"/>
  <c r="AW24" i="2"/>
  <c r="BF29" i="2"/>
  <c r="BJ29" i="2" s="1"/>
  <c r="AV29" i="2"/>
  <c r="BG58" i="2"/>
  <c r="BK58" i="2" s="1"/>
  <c r="AW58" i="2"/>
  <c r="BG52" i="2"/>
  <c r="BK52" i="2" s="1"/>
  <c r="AW52" i="2"/>
  <c r="BF43" i="2"/>
  <c r="BJ43" i="2" s="1"/>
  <c r="AV43" i="2"/>
  <c r="BF18" i="2"/>
  <c r="BJ18" i="2" s="1"/>
  <c r="AV18" i="2"/>
  <c r="BF22" i="2"/>
  <c r="BJ22" i="2" s="1"/>
  <c r="AV22" i="2"/>
  <c r="BF54" i="2"/>
  <c r="BJ54" i="2" s="1"/>
  <c r="AV54" i="2"/>
  <c r="BG14" i="2"/>
  <c r="BK14" i="2" s="1"/>
  <c r="AW14" i="2"/>
  <c r="BG29" i="2"/>
  <c r="BK29" i="2" s="1"/>
  <c r="AW29" i="2"/>
  <c r="BG55" i="2"/>
  <c r="BK55" i="2" s="1"/>
  <c r="AW55" i="2"/>
  <c r="BG53" i="2"/>
  <c r="BK53" i="2" s="1"/>
  <c r="AW53" i="2"/>
  <c r="BF58" i="2"/>
  <c r="BJ58" i="2" s="1"/>
  <c r="AV58" i="2"/>
  <c r="BG21" i="2"/>
  <c r="BK21" i="2" s="1"/>
  <c r="AW21" i="2"/>
  <c r="BG8" i="2"/>
  <c r="BK8" i="2" s="1"/>
  <c r="AW8" i="2"/>
  <c r="BF37" i="2"/>
  <c r="BJ37" i="2" s="1"/>
  <c r="AV37" i="2"/>
  <c r="BG43" i="2"/>
  <c r="BK43" i="2" s="1"/>
  <c r="AW43" i="2"/>
  <c r="BG37" i="2"/>
  <c r="BK37" i="2" s="1"/>
  <c r="AW37" i="2"/>
  <c r="BG9" i="2"/>
  <c r="BK9" i="2" s="1"/>
  <c r="AW9" i="2"/>
  <c r="BF23" i="2"/>
  <c r="BJ23" i="2" s="1"/>
  <c r="AV23" i="2"/>
  <c r="BF34" i="2"/>
  <c r="BJ34" i="2" s="1"/>
  <c r="AV34" i="2"/>
  <c r="BF47" i="2"/>
  <c r="BJ47" i="2" s="1"/>
  <c r="AV47" i="2"/>
  <c r="BF56" i="2"/>
  <c r="BJ56" i="2" s="1"/>
  <c r="AV56" i="2"/>
  <c r="BF21" i="2"/>
  <c r="BJ21" i="2" s="1"/>
  <c r="AV21" i="2"/>
  <c r="BF8" i="2"/>
  <c r="BJ8" i="2" s="1"/>
  <c r="AV8" i="2"/>
  <c r="BG28" i="2"/>
  <c r="BK28" i="2" s="1"/>
  <c r="AW28" i="2"/>
  <c r="BF9" i="2"/>
  <c r="BJ9" i="2" s="1"/>
  <c r="AV9" i="2"/>
  <c r="BF24" i="2"/>
  <c r="BJ24" i="2" s="1"/>
  <c r="AV24" i="2"/>
  <c r="BF36" i="2"/>
  <c r="BJ36" i="2" s="1"/>
  <c r="AV36" i="2"/>
  <c r="BF55" i="2"/>
  <c r="BJ55" i="2" s="1"/>
  <c r="AV55" i="2"/>
  <c r="BG34" i="2"/>
  <c r="BK34" i="2" s="1"/>
  <c r="AW34" i="2"/>
  <c r="BG12" i="2"/>
  <c r="BK12" i="2" s="1"/>
  <c r="AW12" i="2"/>
  <c r="BG49" i="2"/>
  <c r="BK49" i="2" s="1"/>
  <c r="AW49" i="2"/>
  <c r="BF14" i="2"/>
  <c r="BJ14" i="2" s="1"/>
  <c r="AV14" i="2"/>
  <c r="BF49" i="2"/>
  <c r="BJ49" i="2" s="1"/>
  <c r="AV49" i="2"/>
  <c r="BG35" i="2"/>
  <c r="BK35" i="2" s="1"/>
  <c r="AW35" i="2"/>
  <c r="BG54" i="2"/>
  <c r="BK54" i="2" s="1"/>
  <c r="AW54" i="2"/>
  <c r="BG33" i="2"/>
  <c r="BK33" i="2" s="1"/>
  <c r="AW33" i="2"/>
  <c r="BG30" i="2"/>
  <c r="BK30" i="2" s="1"/>
  <c r="AW30" i="2"/>
  <c r="BF30" i="2"/>
  <c r="BJ30" i="2" s="1"/>
  <c r="AV30" i="2"/>
  <c r="BF52" i="2"/>
  <c r="BJ52" i="2" s="1"/>
  <c r="AV52" i="2"/>
  <c r="BF12" i="2"/>
  <c r="BJ12" i="2" s="1"/>
  <c r="AV12" i="2"/>
  <c r="BG10" i="2"/>
  <c r="BK10" i="2" s="1"/>
  <c r="AW10" i="2"/>
  <c r="BF60" i="2"/>
  <c r="BJ60" i="2" s="1"/>
  <c r="AV60" i="2"/>
  <c r="BG60" i="2"/>
  <c r="BK60" i="2" s="1"/>
  <c r="AW60" i="2"/>
  <c r="BF53" i="2"/>
  <c r="BJ53" i="2" s="1"/>
  <c r="AV5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<sst xmlns="http://schemas.openxmlformats.org/spreadsheetml/2006/main" count="350" uniqueCount="175">
  <si>
    <t>size</t>
  </si>
  <si>
    <t>91282CML2</t>
  </si>
  <si>
    <t>91282CMM0</t>
  </si>
  <si>
    <t>912810UH9</t>
  </si>
  <si>
    <t>912810UG1</t>
  </si>
  <si>
    <t>91282CLV1</t>
  </si>
  <si>
    <t>91282CLR0</t>
  </si>
  <si>
    <t>91282CLE9</t>
  </si>
  <si>
    <t>91282CLF6</t>
  </si>
  <si>
    <t>912810TY4</t>
  </si>
  <si>
    <t>912810TX6</t>
  </si>
  <si>
    <t>91282CKL4</t>
  </si>
  <si>
    <t>91282CKP5</t>
  </si>
  <si>
    <t>91282CJY8</t>
  </si>
  <si>
    <t>91282CJZ5</t>
  </si>
  <si>
    <t>91282CJH5</t>
  </si>
  <si>
    <t>91282CJF9</t>
  </si>
  <si>
    <t>91282CHP9</t>
  </si>
  <si>
    <t>91282CHT1</t>
  </si>
  <si>
    <t>912810TP3</t>
  </si>
  <si>
    <t>912810TN8</t>
  </si>
  <si>
    <t>91282CGW5</t>
  </si>
  <si>
    <t>91282CHA2</t>
  </si>
  <si>
    <t>91282CGK1</t>
  </si>
  <si>
    <t>91282CGM7</t>
  </si>
  <si>
    <t>91282CFR7</t>
  </si>
  <si>
    <t>91282CFU0</t>
  </si>
  <si>
    <t>91282CEZ0</t>
  </si>
  <si>
    <t>91282CFF3</t>
  </si>
  <si>
    <t>912810TE8</t>
  </si>
  <si>
    <t>912810TD0</t>
  </si>
  <si>
    <t>91282CEJ6</t>
  </si>
  <si>
    <t>91282CEN7</t>
  </si>
  <si>
    <t>91282CDX6</t>
  </si>
  <si>
    <t>91282CDY4</t>
  </si>
  <si>
    <t>91282CDC2</t>
  </si>
  <si>
    <t>91282CDG3</t>
  </si>
  <si>
    <t>91282CCM1</t>
  </si>
  <si>
    <t>91282CCS8</t>
  </si>
  <si>
    <t>912810SV1</t>
  </si>
  <si>
    <t>912810SU3</t>
  </si>
  <si>
    <t>91282CCA7</t>
  </si>
  <si>
    <t>91282CBW0</t>
  </si>
  <si>
    <t>91282CBF7</t>
  </si>
  <si>
    <t>91282CBL4</t>
  </si>
  <si>
    <t>91282CAQ4</t>
  </si>
  <si>
    <t>91282CAT8</t>
  </si>
  <si>
    <t>912828ZZ6</t>
  </si>
  <si>
    <t>91282CAE1</t>
  </si>
  <si>
    <t>912810SM1</t>
  </si>
  <si>
    <t>912810SL3</t>
  </si>
  <si>
    <t>912828ZJ2</t>
  </si>
  <si>
    <t>912828ZL7</t>
  </si>
  <si>
    <t>912828Z37</t>
  </si>
  <si>
    <t>912828Z94</t>
  </si>
  <si>
    <t>9128287D6</t>
  </si>
  <si>
    <t>912828YB0</t>
  </si>
  <si>
    <t>912810SG4</t>
  </si>
  <si>
    <t>912810SF6</t>
  </si>
  <si>
    <t>9128285W6</t>
  </si>
  <si>
    <t>9128286B1</t>
  </si>
  <si>
    <t>912828Y38</t>
  </si>
  <si>
    <t>9128284V9</t>
  </si>
  <si>
    <t>912810SB5</t>
  </si>
  <si>
    <t>912810SA7</t>
  </si>
  <si>
    <t>9128283R9</t>
  </si>
  <si>
    <t>9128283W8</t>
  </si>
  <si>
    <t>9128282L3</t>
  </si>
  <si>
    <t>9128282R0</t>
  </si>
  <si>
    <t>912810RW0</t>
  </si>
  <si>
    <t>912810RV2</t>
  </si>
  <si>
    <t>912828V49</t>
  </si>
  <si>
    <t>912828V98</t>
  </si>
  <si>
    <t>912828S50</t>
  </si>
  <si>
    <t>9128282A7</t>
  </si>
  <si>
    <t>912810RR1</t>
  </si>
  <si>
    <t>912810RQ3</t>
  </si>
  <si>
    <t>912828N71</t>
  </si>
  <si>
    <t>912828P46</t>
  </si>
  <si>
    <t>912828XL9</t>
  </si>
  <si>
    <t>912828K74</t>
  </si>
  <si>
    <t>912810RL4</t>
  </si>
  <si>
    <t>912810RK6</t>
  </si>
  <si>
    <t>912810RF7</t>
  </si>
  <si>
    <t>912810RE0</t>
  </si>
  <si>
    <t>912810RA8</t>
  </si>
  <si>
    <t>912810QZ4</t>
  </si>
  <si>
    <t>912810QV3</t>
  </si>
  <si>
    <t>912810QU5</t>
  </si>
  <si>
    <t>912810QP6</t>
  </si>
  <si>
    <t>912810QN1</t>
  </si>
  <si>
    <t>912810QF8</t>
  </si>
  <si>
    <t>912810QE1</t>
  </si>
  <si>
    <t>912810PZ5</t>
  </si>
  <si>
    <t>912810FG8</t>
  </si>
  <si>
    <t>912810PV4</t>
  </si>
  <si>
    <t>912810PS1</t>
  </si>
  <si>
    <t>912810FS2</t>
  </si>
  <si>
    <t>912810FQ6</t>
  </si>
  <si>
    <t>912810FP8</t>
  </si>
  <si>
    <t>912810FH6</t>
  </si>
  <si>
    <t>912810FD5</t>
  </si>
  <si>
    <t>912810FE3</t>
  </si>
  <si>
    <t>TIPS</t>
  </si>
  <si>
    <t>UST</t>
  </si>
  <si>
    <t>NY close</t>
  </si>
  <si>
    <t>O/N today</t>
  </si>
  <si>
    <t>O/N settle</t>
  </si>
  <si>
    <t>GCFRTSY Index</t>
  </si>
  <si>
    <t>beta</t>
  </si>
  <si>
    <t>close px</t>
  </si>
  <si>
    <t>NY settle</t>
  </si>
  <si>
    <t>close yld</t>
  </si>
  <si>
    <t>fwd px</t>
  </si>
  <si>
    <t>fwd yld</t>
  </si>
  <si>
    <t>coup</t>
  </si>
  <si>
    <t>maturity</t>
  </si>
  <si>
    <t>BE close</t>
  </si>
  <si>
    <t>BE rolled</t>
  </si>
  <si>
    <t>base CPI</t>
  </si>
  <si>
    <t>dv01</t>
  </si>
  <si>
    <t>oil</t>
  </si>
  <si>
    <t>contract</t>
  </si>
  <si>
    <t>COM5</t>
  </si>
  <si>
    <t>NY close settle</t>
  </si>
  <si>
    <t>NSA / 1 cent</t>
  </si>
  <si>
    <t>bps/.1 NSA</t>
  </si>
  <si>
    <t>bps/1 cent</t>
  </si>
  <si>
    <t>live</t>
  </si>
  <si>
    <t>beta imp</t>
  </si>
  <si>
    <t>model</t>
  </si>
  <si>
    <t>BE live</t>
  </si>
  <si>
    <t>UST live</t>
  </si>
  <si>
    <t>market</t>
  </si>
  <si>
    <t>performance</t>
  </si>
  <si>
    <t>Chrg (ticks)</t>
  </si>
  <si>
    <t>bid</t>
  </si>
  <si>
    <t>offer</t>
  </si>
  <si>
    <t>Addl chrg (ticks)</t>
  </si>
  <si>
    <t>charges (bps)</t>
  </si>
  <si>
    <t>bid bp</t>
  </si>
  <si>
    <t>ask bp</t>
  </si>
  <si>
    <t>bid live</t>
  </si>
  <si>
    <t>ask live</t>
  </si>
  <si>
    <t>Model Live</t>
  </si>
  <si>
    <t>ask</t>
  </si>
  <si>
    <t>bbg bid</t>
  </si>
  <si>
    <t>bbg ask</t>
  </si>
  <si>
    <t>bbg mid</t>
  </si>
  <si>
    <t>bbg yld</t>
  </si>
  <si>
    <t>BBG Live</t>
  </si>
  <si>
    <t>Final Live</t>
  </si>
  <si>
    <t>CT2</t>
  </si>
  <si>
    <t>CT3</t>
  </si>
  <si>
    <t>CT5</t>
  </si>
  <si>
    <t>CT10</t>
  </si>
  <si>
    <t>CT30</t>
  </si>
  <si>
    <t>contracts</t>
  </si>
  <si>
    <t>OTR</t>
  </si>
  <si>
    <t>short leg</t>
  </si>
  <si>
    <t>hedge</t>
  </si>
  <si>
    <t>long leg</t>
  </si>
  <si>
    <t>mm's</t>
  </si>
  <si>
    <t>short</t>
  </si>
  <si>
    <t>belly</t>
  </si>
  <si>
    <t>long</t>
  </si>
  <si>
    <t>Hedges</t>
  </si>
  <si>
    <t>leg 1</t>
  </si>
  <si>
    <t>leg 2</t>
  </si>
  <si>
    <t>size 1</t>
  </si>
  <si>
    <t>size 2</t>
  </si>
  <si>
    <t>CPIIINDX Index</t>
  </si>
  <si>
    <t>IR</t>
  </si>
  <si>
    <t>MAX CUMULATIVE SIZE: 75k or 100mm</t>
  </si>
  <si>
    <t>(whichever comes first)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</si>
</sst>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"/>
    <numFmt numFmtId="165" formatCode="0.000"/>
    <numFmt numFmtId="166" formatCode="0.0"/>
    <numFmt numFmtId="167" formatCode="0.0;0.0;\-"/>
    <numFmt numFmtId="168" formatCode="0&quot;mm&quot;"/>
  </numFmts>
  <fonts count="3" x14ac:knownFonts="1"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  <fill>
      <patternFill patternType="solid">
        <fgColor rgb="FFFFCC66"/>
        <bgColor indexed="64"/>
      </patternFill>
    </fill>
  </fills>
  <borders count="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164" fontId="1" fillId="0" borderId="0" xfId="0" applyNumberFormat="1" applyFont="1"/>
    <xf numFmtId="0" fontId="1" fillId="0" borderId="0" xfId="0" applyFont="1"/>
    <xf numFmtId="165" fontId="0" fillId="0" borderId="0" xfId="0" applyNumberFormat="1"/>
    <xf numFmtId="4" fontId="0" fillId="0" borderId="0" xfId="0" applyNumberFormat="1"/>
    <xf numFmtId="0" fontId="0" fillId="2" borderId="0" xfId="0" applyFill="1" applyAlignment="1">
      <alignment horizontal="centerContinuous"/>
    </xf>
    <xf numFmtId="9" fontId="0" fillId="0" borderId="0" xfId="0" applyNumberFormat="1"/>
    <xf numFmtId="0" fontId="0" fillId="0" borderId="0" xfId="0" applyAlignment="1">
      <alignment shrinkToFit="1"/>
    </xf>
    <xf numFmtId="0" fontId="0" fillId="0" borderId="0" xfId="0" applyAlignment="1">
      <alignment horizontal="right"/>
    </xf>
    <xf numFmtId="0" fontId="0" fillId="0" borderId="0" xfId="0" applyAlignment="1">
      <alignment horizontal="right" shrinkToFit="1"/>
    </xf>
    <xf numFmtId="0" fontId="0" fillId="0" borderId="0" xfId="0" applyAlignment="1">
      <alignment horizontal="center"/>
    </xf>
    <xf numFmtId="166" fontId="1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8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 shrinkToFit="1"/>
    </xf>
    <xf numFmtId="0" fontId="0" fillId="2" borderId="2" xfId="0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165" fontId="0" fillId="0" borderId="4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5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1">
    <dxf>
      <fill>
        <patternFill>
          <bgColor theme="3" tint="0.749961851863155"/>
        </patternFill>
      </fill>
    </dxf>
  </dxfs>
  <tableStyles count="0" defaultTableStyle="TableStyleMedium2" defaultPivotStyle="PivotStyleLight16"/>
  <colors>
    <mruColors>
      <color rgb="FFFFCC66"/>
      <color rgb="FF99FF99"/>
      <color rgb="FF66FF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Data...4001775569</v>
        <stp/>
        <stp>BDP|14537553299280455276</stp>
        <tr r="U18" s="2"/>
      </tp>
      <tp t="s">
        <v>#N/A N/A</v>
        <stp/>
        <stp>BDP|10973753215985139951</stp>
        <tr r="G58" s="2"/>
      </tp>
      <tp t="s">
        <v>#N/A N/A</v>
        <stp/>
        <stp>BDP|10194029442656426888</stp>
        <tr r="F15" s="2"/>
      </tp>
      <tp t="s">
        <v>#N/A Requesting Data...3451819463</v>
        <stp/>
        <stp>BDP|15499931612633030491</stp>
        <tr r="W37" s="2"/>
      </tp>
      <tp t="s">
        <v>#N/A Requesting Data...4232679061</v>
        <stp/>
        <stp>BDP|17168520031508622381</stp>
        <tr r="C60" s="2"/>
      </tp>
      <tp t="s">
        <v>#N/A Requesting Data...4099542314</v>
        <stp/>
        <stp>BDP|15971423788586453583</stp>
        <tr r="L21" s="2"/>
        <tr r="L22" s="2"/>
      </tp>
      <tp t="s">
        <v>#N/A N/A</v>
        <stp/>
        <stp>BDP|15904376285253397794</stp>
        <tr r="AU8" s="2"/>
      </tp>
      <tp t="s">
        <v>#N/A Requesting Data...3414413941</v>
        <stp/>
        <stp>BDP|10824240691291555090</stp>
        <tr r="AZ57" s="2"/>
      </tp>
      <tp t="s">
        <v>#N/A N/A</v>
        <stp/>
        <stp>BDP|12281778282896616110</stp>
        <tr r="BB33" s="2"/>
      </tp>
      <tp t="s">
        <v>#N/A Requesting Data...3850989972</v>
        <stp/>
        <stp>BDP|11028896607127798495</stp>
        <tr r="AF58" s="2"/>
      </tp>
      <tp t="s">
        <v>#N/A N/A</v>
        <stp/>
        <stp>BDP|15069770101421270976</stp>
        <tr r="BB21" s="2"/>
      </tp>
      <tp t="s">
        <v>#N/A N/A</v>
        <stp/>
        <stp>BDP|12728114166508381779</stp>
        <tr r="O59" s="2"/>
      </tp>
      <tp t="s">
        <v>#N/A N/A</v>
        <stp/>
        <stp>BDP|14291896029425281143</stp>
        <tr r="Q53" s="2"/>
      </tp>
      <tp t="s">
        <v>#N/A N/A</v>
        <stp/>
        <stp>BDP|10074864864533572704</stp>
        <tr r="P43" s="2"/>
      </tp>
      <tp t="s">
        <v>#N/A N/A</v>
        <stp/>
        <stp>BDP|12456310282786017506</stp>
        <tr r="G52" s="2"/>
      </tp>
      <tp t="s">
        <v>#N/A Requesting Data...3483222750</v>
        <stp/>
        <stp>BDP|18116190549767488034</stp>
        <tr r="K15" s="2"/>
      </tp>
      <tp t="s">
        <v>#N/A N/A</v>
        <stp/>
        <stp>BDH|17947994504617605301</stp>
        <tr r="M57" s="2"/>
      </tp>
      <tp t="s">
        <v>#N/A N/A</v>
        <stp/>
        <stp>BDH|15703910132386639376</stp>
        <tr r="D15" s="2"/>
      </tp>
      <tp t="s">
        <v>#N/A N/A</v>
        <stp/>
        <stp>BDH|14965104551909003324</stp>
        <tr r="M59" s="2"/>
      </tp>
      <tp t="s">
        <v>#N/A N/A</v>
        <stp/>
        <stp>BDH|12151082574836222925</stp>
        <tr r="D34" s="2"/>
      </tp>
      <tp t="s">
        <v>#N/A Requesting Data...3853066715</v>
        <stp/>
        <stp>BDP|10458967279840307517</stp>
        <tr r="AF21" s="2"/>
      </tp>
      <tp t="s">
        <v>#N/A N/A</v>
        <stp/>
        <stp>BDP|11934199649609583657</stp>
        <tr r="F13" s="2"/>
      </tp>
      <tp t="s">
        <v>#N/A N/A</v>
        <stp/>
        <stp>BDP|17110014996607874276</stp>
        <tr r="P34" s="2"/>
      </tp>
      <tp t="s">
        <v>#N/A N/A</v>
        <stp/>
        <stp>BDP|10749849159074586265</stp>
        <tr r="F53" s="2"/>
      </tp>
      <tp t="s">
        <v>#N/A Requesting Data...3679917249</v>
        <stp/>
        <stp>BDP|16462859651571056199</stp>
        <tr r="AZ42" s="2"/>
      </tp>
      <tp t="s">
        <v>#N/A N/A</v>
        <stp/>
        <stp>BDP|17644838603163934770</stp>
        <tr r="AU46" s="2"/>
      </tp>
      <tp t="s">
        <v>#N/A Requesting Data...4081411427</v>
        <stp/>
        <stp>BDP|15629837689958126653</stp>
        <tr r="K9" s="2"/>
      </tp>
      <tp t="s">
        <v>#N/A Requesting Data...3469149722</v>
        <stp/>
        <stp>BDP|10507181251409692629</stp>
        <tr r="W55" s="2"/>
      </tp>
      <tp t="s">
        <v>#N/A Requesting Data...4131887292</v>
        <stp/>
        <stp>BDP|17388587381565522442</stp>
        <tr r="U9" s="2"/>
      </tp>
      <tp t="s">
        <v>#N/A Requesting Data...4140887582</v>
        <stp/>
        <stp>BDP|12621373890902869127</stp>
        <tr r="AZ19" s="2"/>
      </tp>
      <tp t="s">
        <v>#N/A Requesting Data...3904358915</v>
        <stp/>
        <stp>BDP|11581720357299496199</stp>
        <tr r="K42" s="2"/>
      </tp>
      <tp t="s">
        <v>#N/A Requesting Data...4023779751</v>
        <stp/>
        <stp>BDP|14016866109991569675</stp>
        <tr r="BO2" s="2"/>
      </tp>
      <tp t="s">
        <v>#N/A N/A</v>
        <stp/>
        <stp>BDP|16624086262599333220</stp>
        <tr r="O25" s="2"/>
      </tp>
      <tp t="s">
        <v>#N/A Requesting Data...4036000185</v>
        <stp/>
        <stp>BDP|10258123758358051757</stp>
        <tr r="C35" s="2"/>
      </tp>
      <tp t="s">
        <v>#N/A N/A</v>
        <stp/>
        <stp>BDP|17397001061288725297</stp>
        <tr r="AT53" s="2"/>
      </tp>
      <tp t="s">
        <v>#N/A Requesting Data...3928177938</v>
        <stp/>
        <stp>BDP|13481731337604969855</stp>
        <tr r="L44" s="2"/>
      </tp>
      <tp t="s">
        <v>#N/A Requesting Data...3435125167</v>
        <stp/>
        <stp>BDP|12130234548007039854</stp>
        <tr r="AY36" s="2"/>
      </tp>
      <tp t="s">
        <v>#N/A Requesting Data...3436634506</v>
        <stp/>
        <stp>BDP|12780320169305177932</stp>
        <tr r="W42" s="2"/>
      </tp>
      <tp t="s">
        <v>#N/A N/A</v>
        <stp/>
        <stp>BDP|12665826133643820110</stp>
        <tr r="P56" s="2"/>
      </tp>
      <tp t="s">
        <v>#N/A Requesting Data...3901782030</v>
        <stp/>
        <stp>BDP|17152986888189933498</stp>
        <tr r="AY32" s="2"/>
      </tp>
      <tp t="s">
        <v>#N/A Requesting Data...3493369819</v>
        <stp/>
        <stp>BDP|17461732609858955365</stp>
        <tr r="L39" s="2"/>
      </tp>
      <tp t="s">
        <v>#N/A N/A</v>
        <stp/>
        <stp>BDP|14982079088823541438</stp>
        <tr r="P48" s="2"/>
      </tp>
      <tp t="s">
        <v>#N/A N/A</v>
        <stp/>
        <stp>BDP|12136019983592232327</stp>
        <tr r="O51" s="2"/>
      </tp>
      <tp t="s">
        <v>#N/A N/A</v>
        <stp/>
        <stp>BDP|10016565134115626869</stp>
        <tr r="AU45" s="2"/>
      </tp>
      <tp t="s">
        <v>#N/A Requesting Data...3888403220</v>
        <stp/>
        <stp>BDP|13398891528410664219</stp>
        <tr r="K31" s="2"/>
      </tp>
      <tp t="s">
        <v>#N/A Requesting Data...3805860127</v>
        <stp/>
        <stp>BDP|10010053670314394810</stp>
        <tr r="W33" s="2"/>
      </tp>
      <tp t="s">
        <v>#N/A N/A</v>
        <stp/>
        <stp>BDP|13524955043241095450</stp>
        <tr r="G34" s="2"/>
      </tp>
      <tp t="s">
        <v>#N/A N/A</v>
        <stp/>
        <stp>BDP|12202261987021577207</stp>
        <tr r="AU11" s="2"/>
      </tp>
      <tp t="s">
        <v>#N/A N/A</v>
        <stp/>
        <stp>BDP|16083738662784328843</stp>
        <tr r="Q11" s="2"/>
        <tr r="Q12" s="2"/>
      </tp>
      <tp t="s">
        <v>#N/A N/A</v>
        <stp/>
        <stp>BDH|15853368197953023794</stp>
        <tr r="D52" s="2"/>
      </tp>
      <tp t="s">
        <v>#N/A N/A</v>
        <stp/>
        <stp>BDH|12130521399514765192</stp>
        <tr r="D42" s="2"/>
      </tp>
      <tp t="s">
        <v>#N/A N/A</v>
        <stp/>
        <stp>BDH|12833795851129246253</stp>
        <tr r="D12" s="2"/>
      </tp>
      <tp t="s">
        <v>#N/A N/A</v>
        <stp/>
        <stp>BDP|13662526493653826466</stp>
        <tr r="AU33" s="2"/>
      </tp>
      <tp t="s">
        <v>#N/A N/A</v>
        <stp/>
        <stp>BDP|18332986811120107830</stp>
        <tr r="AT12" s="2"/>
      </tp>
      <tp t="s">
        <v>#N/A Requesting Data...3779647574</v>
        <stp/>
        <stp>BDP|18214748538221143540</stp>
        <tr r="K52" s="2"/>
      </tp>
      <tp t="s">
        <v>#N/A Requesting Data...3985072361</v>
        <stp/>
        <stp>BDP|11101415107165915849</stp>
        <tr r="L53" s="2"/>
      </tp>
      <tp t="s">
        <v>#N/A N/A</v>
        <stp/>
        <stp>BDP|15409006409288456537</stp>
        <tr r="P49" s="2"/>
      </tp>
      <tp t="s">
        <v>#N/A N/A</v>
        <stp/>
        <stp>BDP|14953617880201035344</stp>
        <tr r="G48" s="2"/>
      </tp>
      <tp t="s">
        <v>#N/A Requesting Data...3790477814</v>
        <stp/>
        <stp>BDP|13645076387466819522</stp>
        <tr r="AF27" s="2"/>
      </tp>
      <tp t="s">
        <v>#N/A Requesting Data...3449009222</v>
        <stp/>
        <stp>BDP|16809844034403799601</stp>
        <tr r="K45" s="2"/>
      </tp>
      <tp t="s">
        <v>#N/A Requesting Data...4146390768</v>
        <stp/>
        <stp>BDP|10964290286685938700</stp>
        <tr r="B16" s="2"/>
      </tp>
      <tp t="s">
        <v>#N/A N/A</v>
        <stp/>
        <stp>BDP|12078366099583099317</stp>
        <tr r="G17" s="2"/>
      </tp>
      <tp t="s">
        <v>#N/A N/A</v>
        <stp/>
        <stp>BDP|10427035034813546882</stp>
        <tr r="O50" s="2"/>
      </tp>
      <tp t="s">
        <v>#N/A Requesting Data...3887621623</v>
        <stp/>
        <stp>BDP|12620151587334359793</stp>
        <tr r="L26" s="2"/>
      </tp>
      <tp t="s">
        <v>#N/A Requesting Data...3941488335</v>
        <stp/>
        <stp>BDP|14792118966282492954</stp>
        <tr r="C44" s="2"/>
      </tp>
      <tp t="s">
        <v>#N/A N/A</v>
        <stp/>
        <stp>BDP|14276204847669314363</stp>
        <tr r="F59" s="2"/>
      </tp>
      <tp t="s">
        <v>#N/A N/A</v>
        <stp/>
        <stp>BDP|17332929568951014195</stp>
        <tr r="H45" s="2"/>
      </tp>
      <tp t="s">
        <v>#N/A Requesting Data...3562934929</v>
        <stp/>
        <stp>BDP|12381303784380275162</stp>
        <tr r="AY38" s="2"/>
      </tp>
      <tp t="s">
        <v>#N/A Requesting Data...3923677045</v>
        <stp/>
        <stp>BDP|15453453590761708156</stp>
        <tr r="AZ40" s="2"/>
      </tp>
      <tp t="s">
        <v>#N/A Requesting Data...3876829600</v>
        <stp/>
        <stp>BDP|10088774183607659008</stp>
        <tr r="U30" s="2"/>
      </tp>
      <tp t="s">
        <v>#N/A Requesting Data...4219801833</v>
        <stp/>
        <stp>BDP|16126134619177794994</stp>
        <tr r="C38" s="2"/>
      </tp>
      <tp t="s">
        <v>#N/A Requesting Data...4224715938</v>
        <stp/>
        <stp>BDP|14186806046282264206</stp>
        <tr r="U49" s="2"/>
      </tp>
      <tp t="s">
        <v>#N/A Requesting Data...3879921821</v>
        <stp/>
        <stp>BDP|13981767526477876956</stp>
        <tr r="W38" s="2"/>
      </tp>
      <tp t="s">
        <v>#N/A Requesting Data...3775214234</v>
        <stp/>
        <stp>BDP|13515861943460744738</stp>
        <tr r="U22" s="2"/>
      </tp>
      <tp t="s">
        <v>#N/A N/A</v>
        <stp/>
        <stp>BDP|11244320029250506884</stp>
        <tr r="O14" s="2"/>
      </tp>
      <tp t="s">
        <v>#N/A N/A</v>
        <stp/>
        <stp>BDP|15833755036918468180</stp>
        <tr r="G42" s="2"/>
      </tp>
      <tp t="s">
        <v>#N/A N/A</v>
        <stp/>
        <stp>BDP|11948438329718659735</stp>
        <tr r="AT35" s="2"/>
      </tp>
      <tp t="s">
        <v>#N/A N/A</v>
        <stp/>
        <stp>BDP|16641458971408005541</stp>
        <tr r="BB55" s="2"/>
      </tp>
      <tp t="s">
        <v>#N/A Requesting Data...3685801688</v>
        <stp/>
        <stp>BDP|12442847016714444745</stp>
        <tr r="B44" s="2"/>
      </tp>
      <tp t="s">
        <v>#N/A N/A</v>
        <stp/>
        <stp>BDH|12835855202597731520</stp>
        <tr r="D14" s="2"/>
      </tp>
      <tp t="s">
        <v>#N/A N/A</v>
        <stp/>
        <stp>BDH|13056504879300043948</stp>
        <tr r="M17" s="2"/>
        <tr r="M16" s="2"/>
      </tp>
      <tp t="s">
        <v>#N/A N/A</v>
        <stp/>
        <stp>BDH|13660151428281479925</stp>
        <tr r="M35" s="2"/>
      </tp>
      <tp t="s">
        <v>#N/A N/A</v>
        <stp/>
        <stp>BDP|17702465798943737070</stp>
        <tr r="Q15" s="2"/>
      </tp>
      <tp t="s">
        <v>#N/A Requesting Data...3516853522</v>
        <stp/>
        <stp>BDP|16961243460992594919</stp>
        <tr r="AB53" s="2"/>
      </tp>
      <tp t="s">
        <v>#N/A Requesting Data...3714404228</v>
        <stp/>
        <stp>BDP|18298668323764835164</stp>
        <tr r="AZ11" s="2"/>
      </tp>
      <tp t="s">
        <v>#N/A Requesting Data...3682023934</v>
        <stp/>
        <stp>BDP|14884064079002983874</stp>
        <tr r="K56" s="2"/>
      </tp>
      <tp t="s">
        <v>#N/A N/A</v>
        <stp/>
        <stp>BDP|11475775831999820523</stp>
        <tr r="H23" s="2"/>
      </tp>
      <tp t="s">
        <v>#N/A N/A</v>
        <stp/>
        <stp>BDP|15874842282764745839</stp>
        <tr r="F9" s="2"/>
      </tp>
      <tp t="s">
        <v>#N/A Requesting Data...4147980380</v>
        <stp/>
        <stp>BDP|15976831465273765148</stp>
        <tr r="AF54" s="2"/>
      </tp>
      <tp t="s">
        <v>#N/A Requesting Data...3867624772</v>
        <stp/>
        <stp>BDP|15380754218513713964</stp>
        <tr r="AZ35" s="2"/>
      </tp>
      <tp t="s">
        <v>#N/A N/A</v>
        <stp/>
        <stp>BDP|13809461352889380203</stp>
        <tr r="O53" s="2"/>
      </tp>
      <tp t="s">
        <v>#N/A Requesting Data...3986924360</v>
        <stp/>
        <stp>BDP|18319903872269866674</stp>
        <tr r="C24" s="2"/>
      </tp>
      <tp t="s">
        <v>#N/A Requesting Data...3827865791</v>
        <stp/>
        <stp>BDP|15288382887043984455</stp>
        <tr r="W20" s="2"/>
      </tp>
      <tp t="s">
        <v>#N/A Requesting Data...3980344647</v>
        <stp/>
        <stp>BDP|17386146525138546573</stp>
        <tr r="AF51" s="2"/>
      </tp>
      <tp t="s">
        <v>#N/A Requesting Data...3911501435</v>
        <stp/>
        <stp>BDP|17732962966358402935</stp>
        <tr r="C26" s="2"/>
      </tp>
      <tp t="s">
        <v>#N/A N/A</v>
        <stp/>
        <stp>BDP|18009160416274311508</stp>
        <tr r="AT20" s="2"/>
      </tp>
      <tp t="s">
        <v>#N/A N/A</v>
        <stp/>
        <stp>BDP|13546568893432740456</stp>
        <tr r="BB56" s="2"/>
      </tp>
      <tp t="s">
        <v>#N/A N/A</v>
        <stp/>
        <stp>BDP|15534132988032413781</stp>
        <tr r="AT60" s="2"/>
      </tp>
      <tp t="s">
        <v>#N/A N/A</v>
        <stp/>
        <stp>BDP|13225513893822547478</stp>
        <tr r="F56" s="2"/>
      </tp>
      <tp t="s">
        <v>#N/A N/A</v>
        <stp/>
        <stp>BDP|14687930762120710253</stp>
        <tr r="Q59" s="2"/>
      </tp>
      <tp t="s">
        <v>#N/A N/A</v>
        <stp/>
        <stp>BDP|11485993329412801188</stp>
        <tr r="G23" s="2"/>
      </tp>
      <tp t="s">
        <v>#N/A Requesting Data...4127687257</v>
        <stp/>
        <stp>BDP|17309302294255646152</stp>
        <tr r="C19" s="2"/>
      </tp>
      <tp t="s">
        <v>#N/A N/A</v>
        <stp/>
        <stp>BDP|14830370468249437147</stp>
        <tr r="BB14" s="2"/>
      </tp>
      <tp t="s">
        <v>#N/A N/A</v>
        <stp/>
        <stp>BDP|15346780837808863027</stp>
        <tr r="G53" s="2"/>
      </tp>
      <tp t="s">
        <v>#N/A N/A</v>
        <stp/>
        <stp>BDP|18375481634385034397</stp>
        <tr r="H48" s="2"/>
      </tp>
      <tp t="s">
        <v>#N/A Requesting Data...3557874503</v>
        <stp/>
        <stp>BDP|10265910656792409776</stp>
        <tr r="BO4" s="2"/>
      </tp>
      <tp t="s">
        <v>#N/A Requesting Data...3709608110</v>
        <stp/>
        <stp>BDP|13294610617009298405</stp>
        <tr r="W8" s="2"/>
      </tp>
      <tp t="s">
        <v>#N/A N/A</v>
        <stp/>
        <stp>BDH|11074481819968063515</stp>
        <tr r="M31" s="2"/>
      </tp>
      <tp t="s">
        <v>#N/A N/A</v>
        <stp/>
        <stp>BDH|17697351923969357660</stp>
        <tr r="D50" s="2"/>
      </tp>
      <tp t="s">
        <v>#N/A N/A</v>
        <stp/>
        <stp>BADDPERIODS|11145796490150045206</stp>
        <tr r="A2" s="2"/>
      </tp>
      <tp t="s">
        <v>#N/A N/A</v>
        <stp/>
        <stp>BDH|12129009740257214877</stp>
        <tr r="D38" s="2"/>
      </tp>
      <tp t="s">
        <v>#N/A N/A</v>
        <stp/>
        <stp>BDH|14491857423990278771</stp>
        <tr r="D49" s="2"/>
      </tp>
      <tp t="s">
        <v>#N/A N/A</v>
        <stp/>
        <stp>BDH|17633385613274776804</stp>
        <tr r="M44" s="2"/>
      </tp>
      <tp t="s">
        <v>#N/A Requesting Data...4210587584</v>
        <stp/>
        <stp>BDP|16353165992781859162</stp>
        <tr r="AF19" s="2"/>
      </tp>
      <tp t="s">
        <v>#N/A Requesting Data...4150810299</v>
        <stp/>
        <stp>BDP|12519688796192164125</stp>
        <tr r="B32" s="2"/>
      </tp>
      <tp t="s">
        <v>#N/A Requesting Data...3531070747</v>
        <stp/>
        <stp>BDP|15217580264651029962</stp>
        <tr r="B20" s="2"/>
      </tp>
      <tp t="s">
        <v>#N/A N/A</v>
        <stp/>
        <stp>BDP|10201386098564949033</stp>
        <tr r="F44" s="2"/>
      </tp>
      <tp t="s">
        <v>#N/A N/A</v>
        <stp/>
        <stp>BDP|16386189770537228928</stp>
        <tr r="G18" s="2"/>
      </tp>
      <tp t="s">
        <v>#N/A Requesting Data...4200447562</v>
        <stp/>
        <stp>BDP|14117885860136679222</stp>
        <tr r="C41" s="2"/>
      </tp>
      <tp t="s">
        <v>#N/A Requesting Data...3704449515</v>
        <stp/>
        <stp>BDP|14128769018765228915</stp>
        <tr r="L18" s="2"/>
      </tp>
      <tp t="s">
        <v>#N/A Requesting Data...4029980500</v>
        <stp/>
        <stp>BDP|12499840612657957273</stp>
        <tr r="AY46" s="2"/>
      </tp>
      <tp t="s">
        <v>#N/A Requesting Data...3782643146</v>
        <stp/>
        <stp>BDP|13159485841325084845</stp>
        <tr r="C37" s="2"/>
      </tp>
      <tp t="s">
        <v>#N/A N/A</v>
        <stp/>
        <stp>BDP|12917876036416142150</stp>
        <tr r="H17" s="2"/>
      </tp>
      <tp t="s">
        <v>#N/A N/A</v>
        <stp/>
        <stp>BDP|17231498784422747772</stp>
        <tr r="AU54" s="2"/>
      </tp>
      <tp t="s">
        <v>#N/A N/A</v>
        <stp/>
        <stp>BDP|17789053815661808915</stp>
        <tr r="AU47" s="2"/>
      </tp>
      <tp t="s">
        <v>#N/A Requesting Data...3941091357</v>
        <stp/>
        <stp>BDP|15203225374068901635</stp>
        <tr r="AF13" s="2"/>
      </tp>
      <tp t="s">
        <v>#N/A N/A</v>
        <stp/>
        <stp>BDP|15801144287205361760</stp>
        <tr r="AU56" s="2"/>
      </tp>
      <tp t="s">
        <v>#N/A Requesting Data...3940874184</v>
        <stp/>
        <stp>BDP|13410320180830490632</stp>
        <tr r="K26" s="2"/>
      </tp>
      <tp t="s">
        <v>#N/A Requesting Data...3639306685</v>
        <stp/>
        <stp>BDP|12113205594253441414</stp>
        <tr r="B35" s="2"/>
      </tp>
      <tp t="s">
        <v>#N/A N/A</v>
        <stp/>
        <stp>BDP|13993341985394916225</stp>
        <tr r="AU37" s="2"/>
      </tp>
      <tp t="s">
        <v>#N/A N/A</v>
        <stp/>
        <stp>BDP|15745586870389543096</stp>
        <tr r="P41" s="2"/>
      </tp>
      <tp t="s">
        <v>#N/A Requesting Data...3619285161</v>
        <stp/>
        <stp>BDP|16775175483771659061</stp>
        <tr r="L33" s="2"/>
      </tp>
      <tp t="s">
        <v>#N/A Requesting Data...3825955431</v>
        <stp/>
        <stp>BDP|12464253936184456907</stp>
        <tr r="W53" s="2"/>
      </tp>
      <tp t="s">
        <v>#N/A N/A</v>
        <stp/>
        <stp>BDP|16513955822214456739</stp>
        <tr r="BB17" s="2"/>
      </tp>
      <tp t="s">
        <v>#N/A N/A</v>
        <stp/>
        <stp>BDP|14293852337113478214</stp>
        <tr r="G41" s="2"/>
      </tp>
      <tp t="s">
        <v>#N/A N/A</v>
        <stp/>
        <stp>BDP|11315945547285314766</stp>
        <tr r="BB12" s="2"/>
      </tp>
      <tp t="s">
        <v>#N/A Requesting Data...3688610158</v>
        <stp/>
        <stp>BDP|15695055319358974277</stp>
        <tr r="K20" s="2"/>
      </tp>
      <tp t="s">
        <v>#N/A Requesting Data...4108678624</v>
        <stp/>
        <stp>BDP|13352139592654338160</stp>
        <tr r="AB11" s="2"/>
        <tr r="AB12" s="2"/>
      </tp>
      <tp t="s">
        <v>#N/A N/A</v>
        <stp/>
        <stp>BDP|10127016216887924882</stp>
        <tr r="Q49" s="2"/>
      </tp>
      <tp t="s">
        <v>#N/A Requesting Data...3612383235</v>
        <stp/>
        <stp>BDP|10697388875159866343</stp>
        <tr r="AY35" s="2"/>
      </tp>
      <tp t="s">
        <v>#N/A Requesting Data...4076322790</v>
        <stp/>
        <stp>BDP|15090741199313965622</stp>
        <tr r="AB55" s="2"/>
      </tp>
      <tp t="s">
        <v>#N/A Requesting Data...4047408923</v>
        <stp/>
        <stp>BDP|14348112848047181925</stp>
        <tr r="AB34" s="2"/>
      </tp>
      <tp t="s">
        <v>#N/A Requesting Data...3566851684</v>
        <stp/>
        <stp>BDP|17988853254281125412</stp>
        <tr r="U19" s="2"/>
      </tp>
      <tp t="s">
        <v>#N/A Requesting Data...3609539135</v>
        <stp/>
        <stp>BDP|16663285857826030823</stp>
        <tr r="B28" s="2"/>
      </tp>
      <tp t="s">
        <v>#N/A N/A</v>
        <stp/>
        <stp>BDP|14611257509031385822</stp>
        <tr r="O23" s="2"/>
      </tp>
      <tp t="s">
        <v>#N/A N/A</v>
        <stp/>
        <stp>BDP|15728741984053842645</stp>
        <tr r="H29" s="2"/>
      </tp>
      <tp t="s">
        <v>#N/A N/A</v>
        <stp/>
        <stp>BDP|16938003912341176914</stp>
        <tr r="G45" s="2"/>
      </tp>
      <tp t="s">
        <v>#N/A Requesting Data...3785610888</v>
        <stp/>
        <stp>BDP|14829623389834064196</stp>
        <tr r="AZ24" s="2"/>
      </tp>
      <tp t="s">
        <v>#N/A Requesting Data...3642391749</v>
        <stp/>
        <stp>BDP|11215891511095321234</stp>
        <tr r="C27" s="2"/>
      </tp>
      <tp t="s">
        <v>#N/A N/A</v>
        <stp/>
        <stp>BDP|16517388030471569850</stp>
        <tr r="F26" s="2"/>
      </tp>
      <tp t="s">
        <v>#N/A Requesting Data...3812467078</v>
        <stp/>
        <stp>BDP|13846866003801601567</stp>
        <tr r="B21" s="2"/>
      </tp>
      <tp t="s">
        <v>#N/A Requesting Data...4002153663</v>
        <stp/>
        <stp>BDP|10362291861459395259</stp>
        <tr r="L35" s="2"/>
      </tp>
      <tp t="s">
        <v>#N/A N/A</v>
        <stp/>
        <stp>BDP|16795595611114505978</stp>
        <tr r="P24" s="2"/>
      </tp>
      <tp t="s">
        <v>#N/A Requesting Data...3812513129</v>
        <stp/>
        <stp>BDP|10138840974996997641</stp>
        <tr r="C17" s="2"/>
      </tp>
      <tp t="s">
        <v>#N/A N/A</v>
        <stp/>
        <stp>BDP|12374133458008433105</stp>
        <tr r="H25" s="2"/>
      </tp>
      <tp t="s">
        <v>#N/A Requesting Data...3682589531</v>
        <stp/>
        <stp>BDP|10442688198053379384</stp>
        <tr r="AB24" s="2"/>
      </tp>
      <tp t="s">
        <v>#N/A N/A</v>
        <stp/>
        <stp>BDP|11610099699405091299</stp>
        <tr r="BB44" s="2"/>
      </tp>
      <tp t="s">
        <v>#N/A Requesting Data...4232619529</v>
        <stp/>
        <stp>BDP|17659965001973780288</stp>
        <tr r="K32" s="2"/>
      </tp>
      <tp t="s">
        <v>#N/A N/A</v>
        <stp/>
        <stp>BDP|15474697381643700758</stp>
        <tr r="F40" s="2"/>
      </tp>
      <tp t="s">
        <v>#N/A Requesting Data...3580219311</v>
        <stp/>
        <stp>BDP|14535317702341041978</stp>
        <tr r="L31" s="2"/>
      </tp>
      <tp t="s">
        <v>#N/A Requesting Data...3598413512</v>
        <stp/>
        <stp>BDP|16616307904043549969</stp>
        <tr r="AF23" s="2"/>
      </tp>
      <tp t="s">
        <v>#N/A N/A</v>
        <stp/>
        <stp>BDP|18243828991391814781</stp>
        <tr r="P14" s="2"/>
      </tp>
      <tp t="s">
        <v>#N/A Requesting Data...3780394916</v>
        <stp/>
        <stp>BDP|16066154789847479793</stp>
        <tr r="AY37" s="2"/>
      </tp>
      <tp t="s">
        <v>#N/A N/A</v>
        <stp/>
        <stp>BDP|11561664918899368099</stp>
        <tr r="Q58" s="2"/>
      </tp>
      <tp t="s">
        <v>#N/A Requesting Data...4070249200</v>
        <stp/>
        <stp>BDP|16296869430674487601</stp>
        <tr r="AF30" s="2"/>
      </tp>
      <tp t="s">
        <v>#N/A Requesting Data...4237450906</v>
        <stp/>
        <stp>BDP|12069927749212872238</stp>
        <tr r="W23" s="2"/>
      </tp>
      <tp t="s">
        <v>#N/A Requesting Data...3679251385</v>
        <stp/>
        <stp>BDP|11822229059259702073</stp>
        <tr r="L29" s="2"/>
      </tp>
      <tp t="s">
        <v>#N/A Requesting Data...4156102667</v>
        <stp/>
        <stp>BDP|16653330421851423937</stp>
        <tr r="AZ59" s="2"/>
      </tp>
      <tp t="s">
        <v>#N/A N/A</v>
        <stp/>
        <stp>BDP|11859422623579370194</stp>
        <tr r="AT42" s="2"/>
      </tp>
      <tp t="s">
        <v>#N/A N/A</v>
        <stp/>
        <stp>BDP|13822141500399898466</stp>
        <tr r="O38" s="2"/>
      </tp>
      <tp t="s">
        <v>#N/A Requesting Data...4081357995</v>
        <stp/>
        <stp>BDP|17805088878349850651</stp>
        <tr r="AY28" s="2"/>
      </tp>
      <tp t="s">
        <v>#N/A N/A</v>
        <stp/>
        <stp>BDP|16576969546174636062</stp>
        <tr r="H60" s="2"/>
      </tp>
      <tp t="s">
        <v>#N/A Requesting Data...4271450216</v>
        <stp/>
        <stp>BDP|10898693117831343905</stp>
        <tr r="B40" s="2"/>
      </tp>
      <tp t="s">
        <v>#N/A N/A</v>
        <stp/>
        <stp>BDP|12828067539288723654</stp>
        <tr r="F36" s="2"/>
      </tp>
      <tp t="s">
        <v>#N/A N/A</v>
        <stp/>
        <stp>BDP|15294308085968006903</stp>
        <tr r="AU24" s="2"/>
      </tp>
      <tp t="s">
        <v>#N/A Requesting Data...4285291949</v>
        <stp/>
        <stp>BDP|10090820414962275439</stp>
        <tr r="L56" s="2"/>
      </tp>
      <tp t="s">
        <v>#N/A Requesting Data...4150266220</v>
        <stp/>
        <stp>BDP|12489364442682180879</stp>
        <tr r="AZ39" s="2"/>
      </tp>
      <tp t="s">
        <v>#N/A N/A</v>
        <stp/>
        <stp>BDP|13115325690913209570</stp>
        <tr r="F46" s="2"/>
      </tp>
      <tp t="s">
        <v>#N/A Requesting Data...3780746514</v>
        <stp/>
        <stp>BDP|12776930266533570110</stp>
        <tr r="AZ33" s="2"/>
      </tp>
      <tp t="s">
        <v>#N/A N/A</v>
        <stp/>
        <stp>BDH|13129490821493213986</stp>
        <tr r="M27" s="2"/>
      </tp>
      <tp t="s">
        <v>#N/A N/A</v>
        <stp/>
        <stp>BDH|16166187593900045183</stp>
        <tr r="D32" s="2"/>
      </tp>
      <tp t="s">
        <v>#N/A N/A</v>
        <stp/>
        <stp>BDH|11377978930854732078</stp>
        <tr r="M37" s="2"/>
      </tp>
      <tp t="s">
        <v>#N/A Requesting Data...3687311833</v>
        <stp/>
        <stp>BDP|13453312459180680937</stp>
        <tr r="AF15" s="2"/>
      </tp>
      <tp t="s">
        <v>#N/A Requesting Data...4238858546</v>
        <stp/>
        <stp>BDP|16520160295180970265</stp>
        <tr r="B23" s="2"/>
      </tp>
      <tp t="s">
        <v>#N/A Requesting Data...3948090790</v>
        <stp/>
        <stp>BDP|10405185466568466365</stp>
        <tr r="AY59" s="2"/>
      </tp>
      <tp t="s">
        <v>#N/A N/A</v>
        <stp/>
        <stp>BDP|11534582345628209426</stp>
        <tr r="G49" s="2"/>
      </tp>
      <tp t="s">
        <v>#N/A Requesting Data...4160776161</v>
        <stp/>
        <stp>BDP|10904818747079723930</stp>
        <tr r="K29" s="2"/>
      </tp>
      <tp t="s">
        <v>#N/A N/A</v>
        <stp/>
        <stp>BDP|10717549955734967845</stp>
        <tr r="F41" s="2"/>
      </tp>
      <tp t="s">
        <v>#N/A N/A</v>
        <stp/>
        <stp>BDP|16696874733256134795</stp>
        <tr r="G50" s="2"/>
      </tp>
      <tp t="s">
        <v>#N/A N/A</v>
        <stp/>
        <stp>BDP|14932666797492432511</stp>
        <tr r="AU52" s="2"/>
      </tp>
      <tp t="s">
        <v>#N/A N/A</v>
        <stp/>
        <stp>BDP|18040604939363350273</stp>
        <tr r="P44" s="2"/>
      </tp>
      <tp t="s">
        <v>#N/A Requesting Data...3772679035</v>
        <stp/>
        <stp>BDP|16207121028920255979</stp>
        <tr r="AB57" s="2"/>
      </tp>
      <tp t="s">
        <v>#N/A N/A</v>
        <stp/>
        <stp>BDP|16270721168589640200</stp>
        <tr r="H13" s="2"/>
      </tp>
      <tp t="s">
        <v>#N/A N/A</v>
        <stp/>
        <stp>BDP|14695018299013907294</stp>
        <tr r="P16" s="2"/>
        <tr r="P17" s="2"/>
      </tp>
      <tp t="s">
        <v>#N/A Requesting Data...4094229190</v>
        <stp/>
        <stp>BDP|10325869173612318148</stp>
        <tr r="U11" s="2"/>
      </tp>
      <tp t="s">
        <v>#N/A Requesting Data...4115504004</v>
        <stp/>
        <stp>BDP|10658420995098926982</stp>
        <tr r="AZ8" s="2"/>
      </tp>
      <tp t="s">
        <v>#N/A N/A</v>
        <stp/>
        <stp>BDP|14423405423078376672</stp>
        <tr r="AU26" s="2"/>
      </tp>
      <tp t="s">
        <v>#N/A Requesting Data...4000012537</v>
        <stp/>
        <stp>BDP|14994254787064068699</stp>
        <tr r="B25" s="2"/>
      </tp>
      <tp t="s">
        <v>#N/A Requesting Data...3795891669</v>
        <stp/>
        <stp>BDP|16882972270804509080</stp>
        <tr r="C57" s="2"/>
      </tp>
      <tp t="s">
        <v>#N/A N/A</v>
        <stp/>
        <stp>BDP|14947308711819253381</stp>
        <tr r="O24" s="2"/>
      </tp>
      <tp t="s">
        <v>#N/A N/A</v>
        <stp/>
        <stp>BDP|15587341213119101264</stp>
        <tr r="H8" s="2"/>
      </tp>
      <tp t="s">
        <v>#N/A N/A</v>
        <stp/>
        <stp>BDP|10584320626805670839</stp>
        <tr r="BB58" s="2"/>
      </tp>
      <tp t="s">
        <v>#N/A N/A</v>
        <stp/>
        <stp>BDP|16022313695694451441</stp>
        <tr r="O49" s="2"/>
      </tp>
      <tp t="s">
        <v>#N/A Requesting Data...3951731391</v>
        <stp/>
        <stp>BDP|17127911575317607245</stp>
        <tr r="W59" s="2"/>
      </tp>
      <tp t="s">
        <v>#N/A Requesting Data...4173632646</v>
        <stp/>
        <stp>BDP|15040325866435521963</stp>
        <tr r="C25" s="2"/>
      </tp>
      <tp t="s">
        <v>#N/A Requesting Data...4258941402</v>
        <stp/>
        <stp>BDP|10585719469274974926</stp>
        <tr r="U40" s="2"/>
      </tp>
      <tp t="s">
        <v>#N/A N/A</v>
        <stp/>
        <stp>BDH|12088824734512665769</stp>
        <tr r="D41" s="2"/>
      </tp>
      <tp t="s">
        <v>#N/A N/A</v>
        <stp/>
        <stp>BDH|14646610098095727227</stp>
        <tr r="AE3" s="2"/>
      </tp>
      <tp t="s">
        <v>#N/A N/A</v>
        <stp/>
        <stp>BDH|17249983955807764044</stp>
        <tr r="D20" s="2"/>
      </tp>
    </main>
    <main first="bofaddin.rtdserver">
      <tp t="s">
        <v>#N/A N/A</v>
        <stp/>
        <stp>BDP|10990908113087899290</stp>
        <tr r="AU13" s="2"/>
      </tp>
      <tp t="s">
        <v>#N/A Requesting Data...4280928057</v>
        <stp/>
        <stp>BDP|12240521975804800963</stp>
        <tr r="AF49" s="2"/>
      </tp>
      <tp t="s">
        <v>#N/A Requesting Data...4046747932</v>
        <stp/>
        <stp>BDP|13411208989722682619</stp>
        <tr r="K35" s="2"/>
      </tp>
      <tp t="s">
        <v>#N/A N/A</v>
        <stp/>
        <stp>BDP|10407393034938526566</stp>
        <tr r="P18" s="2"/>
      </tp>
      <tp t="s">
        <v>#N/A Requesting Data...4205268478</v>
        <stp/>
        <stp>BDP|13065499091176650530</stp>
        <tr r="C29" s="2"/>
      </tp>
      <tp t="s">
        <v>#N/A N/A</v>
        <stp/>
        <stp>BDP|15710682380157680146</stp>
        <tr r="H21" s="2"/>
      </tp>
      <tp t="s">
        <v>#N/A N/A</v>
        <stp/>
        <stp>BDP|13132791561516554913</stp>
        <tr r="AU48" s="2"/>
      </tp>
      <tp t="s">
        <v>#N/A Requesting Data...3924034860</v>
        <stp/>
        <stp>BDP|10994390206426948829</stp>
        <tr r="L51" s="2"/>
      </tp>
      <tp t="s">
        <v>#N/A Requesting Data...3985464240</v>
        <stp/>
        <stp>BDP|12722304602389107584</stp>
        <tr r="AB16" s="2"/>
        <tr r="AB17" s="2"/>
      </tp>
      <tp t="s">
        <v>#N/A Requesting Data...4099573080</v>
        <stp/>
        <stp>BDP|10277965955771539080</stp>
        <tr r="B31" s="2"/>
      </tp>
      <tp t="s">
        <v>#N/A N/A</v>
        <stp/>
        <stp>BDP|11386886725094556253</stp>
        <tr r="Q43" s="2"/>
      </tp>
      <tp t="s">
        <v>#N/A N/A</v>
        <stp/>
        <stp>BDP|18092680930601363158</stp>
        <tr r="F43" s="2"/>
      </tp>
      <tp t="s">
        <v>#N/A Requesting Data...3928062967</v>
        <stp/>
        <stp>BDP|16487204195562126213</stp>
        <tr r="AY30" s="2"/>
      </tp>
      <tp t="s">
        <v>#N/A Requesting Data...3866601839</v>
        <stp/>
        <stp>BDP|14897792261809293135</stp>
        <tr r="L34" s="2"/>
      </tp>
      <tp t="s">
        <v>#N/A Requesting Data...4175661726</v>
        <stp/>
        <stp>BDP|12692179800848325636</stp>
        <tr r="B46" s="2"/>
      </tp>
      <tp t="s">
        <v>#N/A N/A</v>
        <stp/>
        <stp>BDP|10707440893198482859</stp>
        <tr r="Q18" s="2"/>
      </tp>
      <tp t="s">
        <v>#N/A Requesting Data...4130868034</v>
        <stp/>
        <stp>BDP|15710847423765820794</stp>
        <tr r="AZ56" s="2"/>
      </tp>
      <tp t="s">
        <v>#N/A N/A</v>
        <stp/>
        <stp>BDP|13775358319038237488</stp>
        <tr r="P50" s="2"/>
      </tp>
      <tp t="s">
        <v>#N/A N/A</v>
        <stp/>
        <stp>BDP|18164143470496169540</stp>
        <tr r="O56" s="2"/>
      </tp>
      <tp t="s">
        <v>#N/A N/A</v>
        <stp/>
        <stp>BDP|12704392877479883218</stp>
        <tr r="AT22" s="2"/>
      </tp>
      <tp t="s">
        <v>#N/A Requesting Data...3912515114</v>
        <stp/>
        <stp>BDP|16584342929459395386</stp>
        <tr r="AZ22" s="2"/>
      </tp>
      <tp t="s">
        <v>#N/A N/A</v>
        <stp/>
        <stp>BDP|16527645822489734676</stp>
        <tr r="O58" s="2"/>
      </tp>
      <tp t="s">
        <v>#N/A N/A</v>
        <stp/>
        <stp>BDP|11231985936216978009</stp>
        <tr r="H59" s="2"/>
      </tp>
      <tp t="s">
        <v>#N/A Requesting Data...3860761149</v>
        <stp/>
        <stp>BDP|12145626690615398550</stp>
        <tr r="U54" s="2"/>
      </tp>
      <tp t="s">
        <v>#N/A Requesting Data...3940480895</v>
        <stp/>
        <stp>BDP|10432826569125380690</stp>
        <tr r="U29" s="2"/>
      </tp>
      <tp t="s">
        <v>#N/A N/A</v>
        <stp/>
        <stp>BDP|16593219698480074088</stp>
        <tr r="P33" s="2"/>
      </tp>
      <tp t="s">
        <v>#N/A Requesting Data...4124025622</v>
        <stp/>
        <stp>BDP|16549302015039747038</stp>
        <tr r="L58" s="2"/>
      </tp>
      <tp t="s">
        <v>#N/A N/A</v>
        <stp/>
        <stp>BDP|11131829756208258934</stp>
        <tr r="AT11" s="2"/>
      </tp>
      <tp t="s">
        <v>#N/A N/A</v>
        <stp/>
        <stp>BDP|15819818275334233390</stp>
        <tr r="BB43" s="2"/>
      </tp>
      <tp t="s">
        <v>#N/A N/A</v>
        <stp/>
        <stp>BDH|17454634294500499577</stp>
        <tr r="M46" s="2"/>
      </tp>
      <tp t="s">
        <v>#N/A N/A</v>
        <stp/>
        <stp>BDH|11713102369923393809</stp>
        <tr r="M18" s="2"/>
      </tp>
    </main>
    <main first="bofaddin.rtdserver">
      <tp t="s">
        <v>#N/A N/A</v>
        <stp/>
        <stp>BDP|16618811499937795200</stp>
        <tr r="G27" s="2"/>
      </tp>
      <tp t="s">
        <v>#N/A N/A</v>
        <stp/>
        <stp>BDP|18201074261704458893</stp>
        <tr r="F58" s="2"/>
      </tp>
      <tp t="s">
        <v>#N/A Requesting Data...4043319212</v>
        <stp/>
        <stp>BDP|13036222798348032228</stp>
        <tr r="C32" s="2"/>
      </tp>
      <tp t="s">
        <v>#N/A N/A</v>
        <stp/>
        <stp>BDP|16741423378310483724</stp>
        <tr r="Q26" s="2"/>
      </tp>
      <tp t="s">
        <v>#N/A Requesting Data...4162500345</v>
        <stp/>
        <stp>BDP|14776798412887449735</stp>
        <tr r="W47" s="2"/>
      </tp>
      <tp t="s">
        <v>#N/A Requesting Data...4286344293</v>
        <stp/>
        <stp>BDP|10508192823916784736</stp>
        <tr r="AF14" s="2"/>
      </tp>
      <tp t="s">
        <v>#N/A N/A</v>
        <stp/>
        <stp>BDP|16433194590958700404</stp>
        <tr r="H20" s="2"/>
      </tp>
      <tp t="s">
        <v>#N/A Requesting Data...4286415495</v>
        <stp/>
        <stp>BDP|11744424914762861439</stp>
        <tr r="W36" s="2"/>
      </tp>
      <tp t="s">
        <v>#N/A Requesting Data...3860800253</v>
        <stp/>
        <stp>BDP|17073731549202655469</stp>
        <tr r="W22" s="2"/>
      </tp>
      <tp t="s">
        <v>#N/A Requesting Data...4025923049</v>
        <stp/>
        <stp>BDP|17735723120995905566</stp>
        <tr r="AZ28" s="2"/>
      </tp>
      <tp t="s">
        <v>#N/A N/A</v>
        <stp/>
        <stp>BDP|14862095467420812045</stp>
        <tr r="Q50" s="2"/>
      </tp>
      <tp t="s">
        <v>#N/A Requesting Data...4011915531</v>
        <stp/>
        <stp>BDP|17603150259230671161</stp>
        <tr r="AB33" s="2"/>
      </tp>
      <tp t="s">
        <v>#N/A Requesting Data...4211039961</v>
        <stp/>
        <stp>BDP|16980560381339761047</stp>
        <tr r="AB59" s="2"/>
      </tp>
      <tp t="s">
        <v>#N/A Requesting Data...4141906792</v>
        <stp/>
        <stp>BDP|12355719006954036390</stp>
        <tr r="L52" s="2"/>
      </tp>
      <tp t="s">
        <v>#N/A N/A</v>
        <stp/>
        <stp>BDP|13813755632233034623</stp>
        <tr r="AT58" s="2"/>
      </tp>
      <tp t="s">
        <v>#N/A Requesting Data...4198070119</v>
        <stp/>
        <stp>BDP|16919318578819484981</stp>
        <tr r="U60" s="2"/>
      </tp>
      <tp t="s">
        <v>#N/A Requesting Data...4110421416</v>
        <stp/>
        <stp>BDP|10433318908502448357</stp>
        <tr r="U55" s="2"/>
      </tp>
      <tp t="s">
        <v>#N/A Requesting Data...4210543613</v>
        <stp/>
        <stp>BDP|10056055638311165006</stp>
        <tr r="U31" s="2"/>
      </tp>
      <tp t="s">
        <v>#N/A Requesting Data...4194832535</v>
        <stp/>
        <stp>BDP|16998718281992285949</stp>
        <tr r="L24" s="2"/>
      </tp>
      <tp t="s">
        <v>#N/A N/A</v>
        <stp/>
        <stp>BDP|11600615619566780265</stp>
        <tr r="AT39" s="2"/>
      </tp>
      <tp t="s">
        <v>#N/A Requesting Data...4247148756</v>
        <stp/>
        <stp>BDP|13063194606036341630</stp>
        <tr r="AY29" s="2"/>
      </tp>
      <tp t="s">
        <v>#N/A Requesting Data...3991679598</v>
        <stp/>
        <stp>BDP|12004966159008793496</stp>
        <tr r="AB31" s="2"/>
      </tp>
      <tp t="s">
        <v>#N/A N/A</v>
        <stp/>
        <stp>BDP|11914372739930713314</stp>
        <tr r="H31" s="2"/>
      </tp>
      <tp t="s">
        <v>#N/A N/A</v>
        <stp/>
        <stp>BDP|11424578640803129130</stp>
        <tr r="Q22" s="2"/>
        <tr r="Q21" s="2"/>
      </tp>
      <tp t="s">
        <v>#N/A N/A</v>
        <stp/>
        <stp>BDP|13710744507136493036</stp>
        <tr r="G51" s="2"/>
      </tp>
      <tp t="s">
        <v>#N/A N/A</v>
        <stp/>
        <stp>BDP|13460507134191085631</stp>
        <tr r="H41" s="2"/>
      </tp>
      <tp t="s">
        <v>#N/A Requesting Data...3988582629</v>
        <stp/>
        <stp>BDP|10105967084766400541</stp>
        <tr r="AB38" s="2"/>
      </tp>
      <tp t="s">
        <v>#N/A Requesting Data...3949453596</v>
        <stp/>
        <stp>BDP|17147465474552622460</stp>
        <tr r="K24" s="2"/>
      </tp>
      <tp t="s">
        <v>#N/A N/A</v>
        <stp/>
        <stp>BDP|14727372144369654812</stp>
        <tr r="F29" s="2"/>
      </tp>
      <tp t="s">
        <v>#N/A Requesting Data...3985561397</v>
        <stp/>
        <stp>BDP|11269136804852676013</stp>
        <tr r="K27" s="2"/>
      </tp>
      <tp t="s">
        <v>#N/A Requesting Data...4007552159</v>
        <stp/>
        <stp>BDP|16752126705145766054</stp>
        <tr r="AY23" s="2"/>
      </tp>
      <tp t="s">
        <v>#N/A N/A</v>
        <stp/>
        <stp>BDP|15899465708446177558</stp>
        <tr r="AU59" s="2"/>
      </tp>
      <tp t="s">
        <v>#N/A Requesting Data...4000212313</v>
        <stp/>
        <stp>BDP|14455124176653311367</stp>
        <tr r="AF40" s="2"/>
      </tp>
      <tp t="s">
        <v>#N/A Requesting Data...4249706504</v>
        <stp/>
        <stp>BDP|13066377376472381778</stp>
        <tr r="B45" s="2"/>
      </tp>
      <tp t="s">
        <v>#N/A Requesting Data...3953332243</v>
        <stp/>
        <stp>BDP|15520679017478271831</stp>
        <tr r="L50" s="2"/>
      </tp>
      <tp t="s">
        <v>#N/A Requesting Data...4152934337</v>
        <stp/>
        <stp>BDP|11350867672608424477</stp>
        <tr r="W58" s="2"/>
      </tp>
      <tp t="s">
        <v>#N/A Requesting Data...4242383080</v>
        <stp/>
        <stp>BDP|11937832231038848071</stp>
        <tr r="B11" s="2"/>
      </tp>
      <tp t="s">
        <v>#N/A Requesting Data...3973734095</v>
        <stp/>
        <stp>BDP|18048772661153563875</stp>
        <tr r="W11" s="2"/>
      </tp>
      <tp t="s">
        <v>#N/A N/A</v>
        <stp/>
        <stp>BDP|17383603820639737836</stp>
        <tr r="H30" s="2"/>
      </tp>
      <tp t="s">
        <v>#N/A Requesting Data...4182781780</v>
        <stp/>
        <stp>BDP|15394876122105867895</stp>
        <tr r="C22" s="2"/>
      </tp>
      <tp t="s">
        <v>#N/A Requesting Data...3938769050</v>
        <stp/>
        <stp>BDP|15125709137866641574</stp>
        <tr r="AB44" s="2"/>
      </tp>
      <tp t="s">
        <v>#N/A Requesting Data...4260311036</v>
        <stp/>
        <stp>BDP|11940242029815584666</stp>
        <tr r="W49" s="2"/>
      </tp>
      <tp t="s">
        <v>#N/A N/A</v>
        <stp/>
        <stp>BDP|13645641582986907817</stp>
        <tr r="BB8" s="2"/>
      </tp>
      <tp t="s">
        <v>#N/A Requesting Data...3976923495</v>
        <stp/>
        <stp>BDP|16042345673980697199</stp>
        <tr r="B26" s="2"/>
      </tp>
      <tp t="s">
        <v>#N/A Requesting Data...4144261998</v>
        <stp/>
        <stp>BDP|10173108773983947600</stp>
        <tr r="K36" s="2"/>
      </tp>
      <tp t="s">
        <v>#N/A Requesting Data...4064803524</v>
        <stp/>
        <stp>BDP|12165599371995620625</stp>
        <tr r="K10" s="2"/>
      </tp>
      <tp t="s">
        <v>#N/A Requesting Data...3990613056</v>
        <stp/>
        <stp>BDP|13470619963475244584</stp>
        <tr r="L46" s="2"/>
      </tp>
      <tp t="s">
        <v>#N/A Requesting Data...4290528082</v>
        <stp/>
        <stp>BDP|11626626938041018608</stp>
        <tr r="K13" s="2"/>
      </tp>
      <tp t="s">
        <v>#N/A N/A</v>
        <stp/>
        <stp>BDP|10918379608867818721</stp>
        <tr r="AU32" s="2"/>
      </tp>
      <tp t="s">
        <v>#N/A N/A</v>
        <stp/>
        <stp>BDP|17592241155515198691</stp>
        <tr r="O37" s="2"/>
      </tp>
      <tp t="s">
        <v>#N/A Requesting Data...4217305992</v>
        <stp/>
        <stp>BDP|12520136896200787995</stp>
        <tr r="AZ30" s="2"/>
      </tp>
      <tp t="s">
        <v>#N/A N/A</v>
        <stp/>
        <stp>BDP|15474498525108657809</stp>
        <tr r="BB11" s="2"/>
      </tp>
      <tp t="s">
        <v>#N/A Requesting Data...4195286695</v>
        <stp/>
        <stp>BDP|11020947593876410426</stp>
        <tr r="B38" s="2"/>
      </tp>
      <tp t="s">
        <v>#N/A Requesting Data...4192100168</v>
        <stp/>
        <stp>BDP|14298403432984495453</stp>
        <tr r="AB52" s="2"/>
      </tp>
      <tp t="s">
        <v>#N/A Requesting Data...4168086424</v>
        <stp/>
        <stp>BDP|17877510006031985077</stp>
        <tr r="AF16" s="2"/>
      </tp>
      <tp t="s">
        <v>#N/A N/A</v>
        <stp/>
        <stp>BDP|16285074968501965250</stp>
        <tr r="AU10" s="2"/>
      </tp>
      <tp t="s">
        <v>#N/A Requesting Data...4222907917</v>
        <stp/>
        <stp>BDP|13246872889444980449</stp>
        <tr r="L28" s="2"/>
        <tr r="L30" s="2"/>
      </tp>
      <tp t="s">
        <v>#N/A Requesting Data...4064322469</v>
        <stp/>
        <stp>BDP|16259043916730671476</stp>
        <tr r="C58" s="2"/>
      </tp>
      <tp t="s">
        <v>#N/A Requesting Data...4243514712</v>
        <stp/>
        <stp>BDP|14222506062320405450</stp>
        <tr r="B56" s="2"/>
      </tp>
      <tp t="s">
        <v>#N/A Requesting Data...4022043435</v>
        <stp/>
        <stp>BDP|17400607430199024841</stp>
        <tr r="AY17" s="2"/>
      </tp>
      <tp t="s">
        <v>#N/A Requesting Data...4122369074</v>
        <stp/>
        <stp>BDP|14008339002283454764</stp>
        <tr r="AY50" s="2"/>
      </tp>
      <tp t="s">
        <v>#N/A N/A</v>
        <stp/>
        <stp>BDP|10833309669403205500</stp>
        <tr r="BB38" s="2"/>
      </tp>
      <tp t="s">
        <v>#N/A Requesting Data...4098408684</v>
        <stp/>
        <stp>BDP|13159589195414626883</stp>
        <tr r="BO1" s="2"/>
      </tp>
      <tp t="s">
        <v>#N/A N/A</v>
        <stp/>
        <stp>BDP|16300102906930055473</stp>
        <tr r="Q13" s="2"/>
      </tp>
      <tp t="s">
        <v>#N/A N/A</v>
        <stp/>
        <stp>BDP|15804492643123214523</stp>
        <tr r="AT37" s="2"/>
      </tp>
      <tp t="s">
        <v>#N/A Requesting Data...4271292565</v>
        <stp/>
        <stp>BDP|12170761766413782333</stp>
        <tr r="AB27" s="2"/>
      </tp>
      <tp t="s">
        <v>#N/A Requesting Data...4032309550</v>
        <stp/>
        <stp>BDP|14213621367052369514</stp>
        <tr r="BN2" s="2"/>
      </tp>
      <tp t="s">
        <v>#N/A N/A</v>
        <stp/>
        <stp>BDP|17786059821250259641</stp>
        <tr r="G30" s="2"/>
      </tp>
      <tp t="s">
        <v>#N/A Requesting Data...4282040978</v>
        <stp/>
        <stp>BDP|11851049802983257194</stp>
        <tr r="BN5" s="2"/>
      </tp>
      <tp t="s">
        <v>#N/A N/A</v>
        <stp/>
        <stp>BDP|10580378263404299244</stp>
        <tr r="BB24" s="2"/>
      </tp>
      <tp t="s">
        <v>#N/A N/A</v>
        <stp/>
        <stp>BDP|16456235977536113666</stp>
        <tr r="AT36" s="2"/>
      </tp>
      <tp t="s">
        <v>#N/A N/A</v>
        <stp/>
        <stp>BDP|13205755208235120292</stp>
        <tr r="AU12" s="2"/>
      </tp>
      <tp t="s">
        <v>#N/A Requesting Data...4286717201</v>
        <stp/>
        <stp>BDP|10965606171522993074</stp>
        <tr r="A5" s="2"/>
      </tp>
      <tp t="s">
        <v>#N/A N/A</v>
        <stp/>
        <stp>BDP|11380992678049022545</stp>
        <tr r="Q34" s="2"/>
      </tp>
      <tp t="s">
        <v>#N/A N/A</v>
        <stp/>
        <stp>BDP|15975918226699989412</stp>
        <tr r="AT50" s="2"/>
      </tp>
      <tp t="s">
        <v>#N/A N/A</v>
        <stp/>
        <stp>BDH|17516241355575063613</stp>
        <tr r="D58" s="2"/>
      </tp>
      <tp t="s">
        <v>#N/A N/A</v>
        <stp/>
        <stp>BDH|15104381777794130667</stp>
        <tr r="D26" s="2"/>
      </tp>
      <tp t="s">
        <v>#N/A N/A</v>
        <stp/>
        <stp>BDH|17008232287958867667</stp>
        <tr r="D19" s="2"/>
      </tp>
      <tp t="s">
        <v>#N/A N/A</v>
        <stp/>
        <stp>BDH|13280481931913751419</stp>
        <tr r="D46" s="2"/>
      </tp>
      <tp t="s">
        <v>#N/A Requesting Data...4253759403</v>
        <stp/>
        <stp>BDP|11196640325000069597</stp>
        <tr r="AF10" s="2"/>
      </tp>
      <tp t="s">
        <v>#N/A N/A</v>
        <stp/>
        <stp>BDP|16111033104437611194</stp>
        <tr r="G22" s="2"/>
      </tp>
      <tp t="s">
        <v>#N/A Requesting Data...4184969728</v>
        <stp/>
        <stp>BDP|10908576312656146243</stp>
        <tr r="AY10" s="2"/>
      </tp>
      <tp t="s">
        <v>#N/A Requesting Data...4239311964</v>
        <stp/>
        <stp>BDP|10636594803441545418</stp>
        <tr r="AY26" s="2"/>
      </tp>
      <tp t="s">
        <v>#N/A Requesting Data...4102152194</v>
        <stp/>
        <stp>BDP|13628416428284297153</stp>
        <tr r="C45" s="2"/>
      </tp>
      <tp t="s">
        <v>#N/A N/A</v>
        <stp/>
        <stp>BDP|12275983935610715804</stp>
        <tr r="BB36" s="2"/>
      </tp>
      <tp t="s">
        <v>#N/A Requesting Data...4141727871</v>
        <stp/>
        <stp>BDP|17212310836132575582</stp>
        <tr r="AB32" s="2"/>
      </tp>
      <tp t="s">
        <v>#N/A N/A</v>
        <stp/>
        <stp>BDP|11291617630221988517</stp>
        <tr r="BB30" s="2"/>
      </tp>
      <tp t="s">
        <v>#N/A N/A</v>
        <stp/>
        <stp>BDP|12284538118051079722</stp>
        <tr r="P19" s="2"/>
      </tp>
      <tp t="s">
        <v>#N/A Requesting Data...4269959769</v>
        <stp/>
        <stp>BDP|17080986752019039219</stp>
        <tr r="AZ34" s="2"/>
      </tp>
      <tp t="s">
        <v>#N/A N/A</v>
        <stp/>
        <stp>BDP|17269229755890959076</stp>
        <tr r="F27" s="2"/>
      </tp>
      <tp t="s">
        <v>#N/A N/A</v>
        <stp/>
        <stp>BDP|14692786024020069108</stp>
        <tr r="AU21" s="2"/>
      </tp>
      <tp t="s">
        <v>#N/A Requesting Data...4280146601</v>
        <stp/>
        <stp>BDP|14171086574094349744</stp>
        <tr r="AY27" s="2"/>
      </tp>
      <tp t="s">
        <v>#N/A N/A</v>
        <stp/>
        <stp>BDP|14474267863452319281</stp>
        <tr r="Q20" s="2"/>
      </tp>
      <tp t="s">
        <v>#N/A N/A</v>
        <stp/>
        <stp>BDP|17772539021888949816</stp>
        <tr r="P9" s="2"/>
      </tp>
      <tp t="s">
        <v>#N/A N/A</v>
        <stp/>
        <stp>BDP|18239087586350158011</stp>
        <tr r="H37" s="2"/>
      </tp>
      <tp t="s">
        <v>#N/A N/A</v>
        <stp/>
        <stp>BDP|17173300565815138799</stp>
        <tr r="Q14" s="2"/>
      </tp>
      <tp t="s">
        <v>#N/A Requesting Data...4249536182</v>
        <stp/>
        <stp>BDP|16691082060505653570</stp>
        <tr r="AZ21" s="2"/>
      </tp>
      <tp t="s">
        <v>#N/A Requesting Data...4120019264</v>
        <stp/>
        <stp>BDP|14466257977732981309</stp>
        <tr r="C51" s="2"/>
      </tp>
      <tp t="s">
        <v>#N/A Requesting Data...4129070249</v>
        <stp/>
        <stp>BDP|15155371674926495786</stp>
        <tr r="AB19" s="2"/>
      </tp>
      <tp t="s">
        <v>#N/A N/A</v>
        <stp/>
        <stp>BDP|17418770302881264121</stp>
        <tr r="F55" s="2"/>
      </tp>
      <tp t="s">
        <v>#N/A Requesting Data...4217177335</v>
        <stp/>
        <stp>BDP|15270383978425387408</stp>
        <tr r="AF28" s="2"/>
      </tp>
      <tp t="s">
        <v>#N/A Requesting Data...4249320545</v>
        <stp/>
        <stp>BDP|16644214954379540873</stp>
        <tr r="U43" s="2"/>
      </tp>
      <tp t="s">
        <v>#N/A N/A</v>
        <stp/>
        <stp>BDP|16244503042335364233</stp>
        <tr r="O9" s="2"/>
      </tp>
      <tp t="s">
        <v>#N/A N/A</v>
        <stp/>
        <stp>BDP|12333481623536303288</stp>
        <tr r="BB28" s="2"/>
      </tp>
      <tp t="s">
        <v>#N/A Requesting Data...4145903834</v>
        <stp/>
        <stp>BDP|16265972063609260079</stp>
        <tr r="C10" s="2"/>
      </tp>
      <tp t="s">
        <v>#N/A Requesting Data...4148450444</v>
        <stp/>
        <stp>BDP|12547215807914368433</stp>
        <tr r="AZ52" s="2"/>
      </tp>
      <tp t="s">
        <v>#N/A Requesting Data...4184313601</v>
        <stp/>
        <stp>BDP|15120434755922361675</stp>
        <tr r="AZ50" s="2"/>
      </tp>
      <tp t="s">
        <v>#N/A Requesting Data...4280812549</v>
        <stp/>
        <stp>BDP|13210741614330653560</stp>
        <tr r="AZ23" s="2"/>
      </tp>
      <tp t="s">
        <v>#N/A Requesting Data...4216782379</v>
        <stp/>
        <stp>BDP|10763459262441757325</stp>
        <tr r="AF38" s="2"/>
      </tp>
      <tp t="s">
        <v>#N/A N/A</v>
        <stp/>
        <stp>BDP|13759388718211247006</stp>
        <tr r="G10" s="2"/>
      </tp>
      <tp t="s">
        <v>#N/A Requesting Data...4275753509</v>
        <stp/>
        <stp>BDP|11678232123314628557</stp>
        <tr r="U35" s="2"/>
      </tp>
      <tp t="s">
        <v>#N/A Requesting Data...4287420867</v>
        <stp/>
        <stp>BDP|14955221071796953766</stp>
        <tr r="AY14" s="2"/>
      </tp>
      <tp t="s">
        <v>#N/A Requesting Data...4231178578</v>
        <stp/>
        <stp>BDP|18184056042038803495</stp>
        <tr r="AB42" s="2"/>
      </tp>
      <tp t="s">
        <v>#N/A Requesting Data...4198472487</v>
        <stp/>
        <stp>BDP|10367705146162164139</stp>
        <tr r="K58" s="2"/>
      </tp>
      <tp t="s">
        <v>#N/A N/A</v>
        <stp/>
        <stp>BDP|16395398169020306372</stp>
        <tr r="P59" s="2"/>
      </tp>
      <tp t="s">
        <v>#N/A N/A</v>
        <stp/>
        <stp>BDP|10222916446845133828</stp>
        <tr r="G11" s="2"/>
      </tp>
      <tp t="s">
        <v>#N/A N/A</v>
        <stp/>
        <stp>BDH|12051474104223147522</stp>
        <tr r="D10" s="2"/>
      </tp>
      <tp t="s">
        <v>#N/A N/A</v>
        <stp/>
        <stp>BDH|17224240522905373235</stp>
        <tr r="M32" s="2"/>
      </tp>
      <tp t="s">
        <v>#N/A N/A</v>
        <stp/>
        <stp>BDH|10008766468787716615</stp>
        <tr r="M33" s="2"/>
      </tp>
      <tp t="s">
        <v>#N/A Requesting Data...4239759717</v>
        <stp/>
        <stp>BDP|13462583379158594897</stp>
        <tr r="L14" s="2"/>
      </tp>
      <tp t="s">
        <v>#N/A N/A</v>
        <stp/>
        <stp>BDP|13096036160700047486</stp>
        <tr r="F48" s="2"/>
      </tp>
      <tp t="s">
        <v>#N/A N/A</v>
        <stp/>
        <stp>BDP|10873078267452029536</stp>
        <tr r="F57" s="2"/>
      </tp>
      <tp t="s">
        <v>#N/A N/A</v>
        <stp/>
        <stp>BDP|17912008029103859733</stp>
        <tr r="O22" s="2"/>
        <tr r="O21" s="2"/>
      </tp>
      <tp t="s">
        <v>#N/A N/A</v>
        <stp/>
        <stp>BDP|17055048569100493021</stp>
        <tr r="P47" s="2"/>
      </tp>
      <tp t="s">
        <v>#N/A N/A</v>
        <stp/>
        <stp>BDP|12550707119743171675</stp>
        <tr r="G31" s="2"/>
      </tp>
      <tp t="s">
        <v>#N/A N/A</v>
        <stp/>
        <stp>BDP|11262731569456487713</stp>
        <tr r="BB42" s="2"/>
      </tp>
      <tp t="s">
        <v>#N/A Requesting Data...4237621115</v>
        <stp/>
        <stp>BDP|14294787893369571207</stp>
        <tr r="AY22" s="2"/>
      </tp>
      <tp t="s">
        <v>#N/A Requesting Data...4259299407</v>
        <stp/>
        <stp>BDP|10421560538420792727</stp>
        <tr r="AF55" s="2"/>
      </tp>
      <tp t="s">
        <v>#N/A Requesting Data...4292920553</v>
        <stp/>
        <stp>BDP|15279497024335123717</stp>
        <tr r="U15" s="2"/>
      </tp>
      <tp t="s">
        <v>#N/A Requesting Data...4255485240</v>
        <stp/>
        <stp>BDP|16940922567331141927</stp>
        <tr r="L11" s="2"/>
        <tr r="L12" s="2"/>
      </tp>
      <tp t="s">
        <v>#N/A Requesting Data...4278965816</v>
        <stp/>
        <stp>BDP|12258285862307236040</stp>
        <tr r="U39" s="2"/>
      </tp>
      <tp t="s">
        <v>#N/A Requesting Data...4270459457</v>
        <stp/>
        <stp>BDP|15481231006821797770</stp>
        <tr r="AF26" s="2"/>
      </tp>
      <tp t="s">
        <v>#N/A Requesting Data...4292274175</v>
        <stp/>
        <stp>BDP|17538155531527569358</stp>
        <tr r="K37" s="2"/>
      </tp>
      <tp t="s">
        <v>#N/A N/A</v>
        <stp/>
        <stp>BDP|14384828599714937007</stp>
        <tr r="AU19" s="2"/>
      </tp>
      <tp t="s">
        <v>#N/A Requesting Data...4290029748</v>
        <stp/>
        <stp>BDP|15609035342852699201</stp>
        <tr r="AZ9" s="2"/>
      </tp>
      <tp t="s">
        <v>#N/A Requesting Data...4277811947</v>
        <stp/>
        <stp>BDP|12392367609681984156</stp>
        <tr r="B53" s="2"/>
      </tp>
      <tp t="s">
        <v>#N/A N/A</v>
        <stp/>
        <stp>BDP|17132148122444496133</stp>
        <tr r="H28" s="2"/>
      </tp>
      <tp t="s">
        <v>#N/A N/A</v>
        <stp/>
        <stp>BDP|11087695683186002897</stp>
        <tr r="H19" s="2"/>
      </tp>
      <tp t="s">
        <v>#N/A Requesting Data...4293304564</v>
        <stp/>
        <stp>BDP|14342281290797057987</stp>
        <tr r="W17" s="2"/>
      </tp>
      <tp t="s">
        <v>#N/A N/A</v>
        <stp/>
        <stp>BDP|12613487740614883740</stp>
        <tr r="H43" s="2"/>
      </tp>
      <tp t="s">
        <v>#N/A Requesting Data...4148275877</v>
        <stp/>
        <stp>BDP|11890587637035135340</stp>
        <tr r="W19" s="2"/>
      </tp>
      <tp t="s">
        <v>#N/A Requesting Data...3765232243</v>
        <stp/>
        <stp>BDP|11166072342950368458</stp>
        <tr r="B51" s="2"/>
      </tp>
      <tp t="s">
        <v>#N/A Requesting Data...1808432973</v>
        <stp/>
        <stp>BDP|15660564673755357353</stp>
        <tr r="C14" s="2"/>
      </tp>
      <tp t="s">
        <v>#N/A N/A</v>
        <stp/>
        <stp>BDP|18362343943626919880</stp>
        <tr r="BB41" s="2"/>
      </tp>
      <tp t="s">
        <v>#N/A N/A</v>
        <stp/>
        <stp>BDP|10391129622264008665</stp>
        <tr r="O27" s="2"/>
      </tp>
      <tp t="s">
        <v>#N/A Requesting Data...1898465825</v>
        <stp/>
        <stp>BDP|12480016012612449047</stp>
        <tr r="AB40" s="2"/>
      </tp>
      <tp t="s">
        <v>#N/A N/A</v>
        <stp/>
        <stp>BDP|10291705222277179363</stp>
        <tr r="Q30" s="2"/>
        <tr r="Q28" s="2"/>
      </tp>
      <tp t="s">
        <v>#N/A N/A</v>
        <stp/>
        <stp>BDP|13544079317596744552</stp>
        <tr r="O18" s="2"/>
      </tp>
      <tp t="s">
        <v>#N/A N/A</v>
        <stp/>
        <stp>BDP|11445212801980393200</stp>
        <tr r="BB13" s="2"/>
      </tp>
      <tp t="s">
        <v>#N/A N/A</v>
        <stp/>
        <stp>BDP|14376343383089362713</stp>
        <tr r="AT57" s="2"/>
      </tp>
      <tp t="s">
        <v>#N/A Requesting Data...4042110156</v>
        <stp/>
        <stp>BDP|17468760904614702570</stp>
        <tr r="C12" s="2"/>
      </tp>
      <tp t="s">
        <v>#N/A N/A</v>
        <stp/>
        <stp>BDH|13925679138794143308</stp>
        <tr r="M10" s="2"/>
      </tp>
      <tp t="s">
        <v>#N/A N/A</v>
        <stp/>
        <stp>BDH|17556509374584079083</stp>
        <tr r="M54" s="2"/>
      </tp>
      <tp t="s">
        <v>#N/A N/A</v>
        <stp/>
        <stp>BDH|12314702251187585681</stp>
        <tr r="V2" s="2"/>
      </tp>
      <tp t="s">
        <v>#N/A N/A</v>
        <stp/>
        <stp>BDH|16445325634620418788</stp>
        <tr r="D39" s="2"/>
      </tp>
      <tp t="s">
        <v>#N/A Requesting Data...3395018205</v>
        <stp/>
        <stp>BADDPERIODS|17340706147908231955</stp>
        <tr r="A1" s="2"/>
      </tp>
      <tp t="s">
        <v>#N/A N/A</v>
        <stp/>
        <stp>BDP|11283593653680794769</stp>
        <tr r="P27" s="2"/>
      </tp>
      <tp t="s">
        <v>#N/A N/A</v>
        <stp/>
        <stp>BDP|11485984436309450476</stp>
        <tr r="AU49" s="2"/>
      </tp>
      <tp t="s">
        <v>#N/A Requesting Data...1002854054</v>
        <stp/>
        <stp>BDP|12184936288461684455</stp>
        <tr r="L16" s="2"/>
        <tr r="L17" s="2"/>
      </tp>
      <tp t="s">
        <v>#N/A N/A</v>
        <stp/>
        <stp>BDP|16657461373183348094</stp>
        <tr r="O46" s="2"/>
      </tp>
      <tp t="s">
        <v>#N/A Requesting Data...3432158353</v>
        <stp/>
        <stp>BDP|17506040180360837915</stp>
        <tr r="AY41" s="2"/>
      </tp>
      <tp t="s">
        <v>#N/A Requesting Data...3290162829</v>
        <stp/>
        <stp>BDP|17487212828675104464</stp>
        <tr r="AY15" s="2"/>
      </tp>
      <tp t="s">
        <v>#N/A Requesting Data...428829942</v>
        <stp/>
        <stp>BDP|18181294921048265614</stp>
        <tr r="B52" s="2"/>
      </tp>
      <tp t="s">
        <v>#N/A N/A</v>
        <stp/>
        <stp>BDP|10951106140902140123</stp>
        <tr r="G46" s="2"/>
      </tp>
      <tp t="s">
        <v>#N/A N/A</v>
        <stp/>
        <stp>BDP|16949045312421127045</stp>
        <tr r="AU9" s="2"/>
      </tp>
      <tp t="s">
        <v>#N/A N/A</v>
        <stp/>
        <stp>BDP|13996626273015015151</stp>
        <tr r="G44" s="2"/>
      </tp>
      <tp t="s">
        <v>#N/A N/A</v>
        <stp/>
        <stp>BDP|13423275875134207491</stp>
        <tr r="O55" s="2"/>
      </tp>
      <tp t="s">
        <v>#N/A Requesting Data...567845453</v>
        <stp/>
        <stp>BDP|15316323176071307680</stp>
        <tr r="B39" s="2"/>
      </tp>
      <tp t="s">
        <v>#N/A N/A</v>
        <stp/>
        <stp>BDP|12744554112390054014</stp>
        <tr r="AT15" s="2"/>
      </tp>
      <tp t="s">
        <v>#N/A Requesting Data...1447036635</v>
        <stp/>
        <stp>BDP|16771828620502364866</stp>
        <tr r="B58" s="2"/>
      </tp>
      <tp t="s">
        <v>#N/A N/A</v>
        <stp/>
        <stp>BDP|14411303221750193344</stp>
        <tr r="AT47" s="2"/>
      </tp>
      <tp t="s">
        <v>#N/A N/A</v>
        <stp/>
        <stp>BDP|13774283274453974325</stp>
        <tr r="BB51" s="2"/>
      </tp>
      <tp t="s">
        <v>#N/A Requesting Data...3580956352</v>
        <stp/>
        <stp>BDP|15365959981542198063</stp>
        <tr r="AF60" s="2"/>
      </tp>
      <tp t="s">
        <v>#N/A N/A</v>
        <stp/>
        <stp>BDP|18169764102361020854</stp>
        <tr r="P13" s="2"/>
      </tp>
      <tp t="s">
        <v>#N/A Requesting Data...1767017447</v>
        <stp/>
        <stp>BDP|16576105873482128470</stp>
        <tr r="AF59" s="2"/>
      </tp>
      <tp t="s">
        <v>#N/A Requesting Data...2670637590</v>
        <stp/>
        <stp>BDP|11041354636242482543</stp>
        <tr r="AF20" s="2"/>
      </tp>
      <tp t="s">
        <v>#N/A N/A</v>
        <stp/>
        <stp>BDP|14159458958445977666</stp>
        <tr r="O28" s="2"/>
        <tr r="O30" s="2"/>
      </tp>
      <tp t="s">
        <v>#N/A N/A</v>
        <stp/>
        <stp>BDP|10357421973257195201</stp>
        <tr r="BB57" s="2"/>
      </tp>
      <tp t="s">
        <v>#N/A N/A</v>
        <stp/>
        <stp>BDP|12359504741724046117</stp>
        <tr r="F52" s="2"/>
      </tp>
      <tp t="s">
        <v>#N/A Requesting Data...2022438692</v>
        <stp/>
        <stp>BDP|14675231706235870586</stp>
        <tr r="AY54" s="2"/>
      </tp>
      <tp t="s">
        <v>#N/A N/A</v>
        <stp/>
        <stp>BDP|12862323860175890401</stp>
        <tr r="P58" s="2"/>
      </tp>
      <tp t="s">
        <v>#N/A N/A</v>
        <stp/>
        <stp>BDP|12393744223901244034</stp>
        <tr r="O16" s="2"/>
        <tr r="O17" s="2"/>
      </tp>
      <tp t="s">
        <v>#N/A Requesting Data...1712133166</v>
        <stp/>
        <stp>BDP|16977896545869331515</stp>
        <tr r="AY56" s="2"/>
      </tp>
      <tp t="s">
        <v>#N/A Requesting Data...508922303</v>
        <stp/>
        <stp>BDP|18260779804951121878</stp>
        <tr r="AZ47" s="2"/>
      </tp>
      <tp t="s">
        <v>#N/A N/A</v>
        <stp/>
        <stp>BDP|14782878893470048341</stp>
        <tr r="Q40" s="2"/>
      </tp>
      <tp t="s">
        <v>#N/A N/A</v>
        <stp/>
        <stp>BDP|10317611621751325372</stp>
        <tr r="P10" s="2"/>
      </tp>
      <tp t="s">
        <v>#N/A Requesting Data...1907913795</v>
        <stp/>
        <stp>BDP|14474177567502182734</stp>
        <tr r="W52" s="2"/>
      </tp>
      <tp t="s">
        <v>#N/A N/A</v>
        <stp/>
        <stp>BDP|12234633073255777035</stp>
        <tr r="G54" s="2"/>
      </tp>
      <tp t="s">
        <v>#N/A N/A</v>
        <stp/>
        <stp>BDP|13844181031064412333</stp>
        <tr r="F21" s="2"/>
      </tp>
      <tp t="s">
        <v>#N/A N/A</v>
        <stp/>
        <stp>BDH|16954080621390332225</stp>
        <tr r="D47" s="2"/>
      </tp>
      <tp t="s">
        <v>#N/A N/A</v>
        <stp/>
        <stp>BDH|13094325711833396464</stp>
        <tr r="D48" s="2"/>
      </tp>
      <tp t="s">
        <v>#N/A N/A</v>
        <stp/>
        <stp>BDH|14000091887159540311</stp>
        <tr r="D55" s="2"/>
      </tp>
      <tp t="s">
        <v>#N/A N/A</v>
        <stp/>
        <stp>BDH|12266772261486966308</stp>
        <tr r="D29" s="2"/>
      </tp>
      <tp t="s">
        <v>#N/A N/A</v>
        <stp/>
        <stp>BDH|13860339044152321006</stp>
        <tr r="D60" s="2"/>
      </tp>
      <tp t="s">
        <v>#N/A N/A</v>
        <stp/>
        <stp>BDH|17098080922881281264</stp>
        <tr r="D17" s="2"/>
      </tp>
      <tp t="s">
        <v>#N/A Requesting Data...2172951427</v>
        <stp/>
        <stp>BDP|16668869298264636471</stp>
        <tr r="AY33" s="2"/>
      </tp>
      <tp t="s">
        <v>#N/A Requesting Data...440900002</v>
        <stp/>
        <stp>BDP|11148155463422832364</stp>
        <tr r="L15" s="2"/>
      </tp>
      <tp t="s">
        <v>#N/A Requesting Data...2486116213</v>
        <stp/>
        <stp>BDP|16979620869601819002</stp>
        <tr r="AB37" s="2"/>
      </tp>
      <tp t="s">
        <v>#N/A N/A</v>
        <stp/>
        <stp>BDP|11700218432624915378</stp>
        <tr r="Q38" s="2"/>
      </tp>
      <tp t="s">
        <v>#N/A Requesting Data...2523852388</v>
        <stp/>
        <stp>BDP|17803347221024570555</stp>
        <tr r="AB56" s="2"/>
      </tp>
      <tp t="s">
        <v>#N/A Requesting Data...242121433</v>
        <stp/>
        <stp>BDP|17920227041661499721</stp>
        <tr r="U37" s="2"/>
      </tp>
      <tp t="s">
        <v>#N/A N/A</v>
        <stp/>
        <stp>BDP|16631152401732813264</stp>
        <tr r="H44" s="2"/>
      </tp>
      <tp t="s">
        <v>#N/A Requesting Data...1793507156</v>
        <stp/>
        <stp>BDP|18421783601798445064</stp>
        <tr r="AY20" s="2"/>
      </tp>
      <tp t="s">
        <v>#N/A N/A</v>
        <stp/>
        <stp>BDP|11352587104407537450</stp>
        <tr r="F18" s="2"/>
      </tp>
      <tp t="s">
        <v>#N/A N/A</v>
        <stp/>
        <stp>BDP|13288657659221186615</stp>
        <tr r="F60" s="2"/>
      </tp>
      <tp t="s">
        <v>#N/A N/A</v>
        <stp/>
        <stp>BDP|11186588833019033944</stp>
        <tr r="AT19" s="2"/>
      </tp>
      <tp t="s">
        <v>#N/A N/A</v>
        <stp/>
        <stp>BDP|16481886658155654935</stp>
        <tr r="P52" s="2"/>
      </tp>
      <tp t="s">
        <v>#N/A Requesting Data...1304715116</v>
        <stp/>
        <stp>BDP|13216080511431912429</stp>
        <tr r="C23" s="2"/>
      </tp>
      <tp t="s">
        <v>#N/A N/A</v>
        <stp/>
        <stp>BDP|15061564229493913661</stp>
        <tr r="AT33" s="2"/>
      </tp>
      <tp t="s">
        <v>#N/A N/A</v>
        <stp/>
        <stp>BDP|12267300446571588327</stp>
        <tr r="BB54" s="2"/>
      </tp>
      <tp t="s">
        <v>#N/A N/A</v>
        <stp/>
        <stp>BDP|12207969643949756132</stp>
        <tr r="Q24" s="2"/>
      </tp>
      <tp t="s">
        <v>#N/A N/A</v>
        <stp/>
        <stp>BDP|13003709986002719932</stp>
        <tr r="AT27" s="2"/>
      </tp>
      <tp t="s">
        <v>#N/A Requesting Data...4279570295</v>
        <stp/>
        <stp>BDP|15346053505504390625</stp>
        <tr r="L27" s="2"/>
      </tp>
      <tp t="s">
        <v>#N/A Requesting Data...2373950206</v>
        <stp/>
        <stp>BDP|11334086439284468146</stp>
        <tr r="B18" s="2"/>
      </tp>
      <tp t="s">
        <v>#N/A Requesting Data...674835577</v>
        <stp/>
        <stp>BDP|17592251639350844139</stp>
        <tr r="AB49" s="2"/>
      </tp>
      <tp t="s">
        <v>#N/A Requesting Data...1589371766</v>
        <stp/>
        <stp>BDP|13090440250464268137</stp>
        <tr r="B24" s="2"/>
      </tp>
      <tp t="s">
        <v>#N/A Requesting Data...3453258320</v>
        <stp/>
        <stp>BDP|15325226686231428961</stp>
        <tr r="K38" s="2"/>
      </tp>
      <tp t="s">
        <v>#N/A N/A</v>
        <stp/>
        <stp>BDP|11044549861657636276</stp>
        <tr r="AT13" s="2"/>
      </tp>
      <tp t="s">
        <v>#N/A Requesting Data...2898177437</v>
        <stp/>
        <stp>BDP|16560327532148356924</stp>
        <tr r="AZ55" s="2"/>
      </tp>
      <tp t="s">
        <v>#N/A N/A</v>
        <stp/>
        <stp>BDP|16615056623125252664</stp>
        <tr r="H33" s="2"/>
      </tp>
      <tp t="s">
        <v>#N/A Requesting Data...1723225032</v>
        <stp/>
        <stp>BDP|17174361487513550829</stp>
        <tr r="U33" s="2"/>
      </tp>
      <tp t="s">
        <v>#N/A Requesting Data...174393312</v>
        <stp/>
        <stp>BDP|16308010810374621432</stp>
        <tr r="L36" s="2"/>
      </tp>
      <tp t="s">
        <v>#N/A Requesting Data...3280098149</v>
        <stp/>
        <stp>BDP|12643528200958211802</stp>
        <tr r="L38" s="2"/>
      </tp>
      <tp t="s">
        <v>#N/A Requesting Data...1479626065</v>
        <stp/>
        <stp>BDP|15756623510183333600</stp>
        <tr r="B48" s="2"/>
      </tp>
      <tp t="s">
        <v>#N/A N/A</v>
        <stp/>
        <stp>BDH|11846581719394317687</stp>
        <tr r="M34" s="2"/>
      </tp>
      <tp t="s">
        <v>#N/A N/A</v>
        <stp/>
        <stp>BDH|14353094702150261333</stp>
        <tr r="D11" s="2"/>
      </tp>
      <tp t="s">
        <v>#N/A N/A</v>
        <stp/>
        <stp>BDH|11416571509701779271</stp>
        <tr r="M55" s="2"/>
      </tp>
      <tp t="s">
        <v>#N/A N/A</v>
        <stp/>
        <stp>BDH|15950575227925371046</stp>
        <tr r="M25" s="2"/>
      </tp>
      <tp t="s">
        <v>#N/A Requesting Data...3446416903</v>
        <stp/>
        <stp>BDP|13242853599507251157</stp>
        <tr r="C9" s="2"/>
      </tp>
      <tp t="s">
        <v>#N/A Requesting Data...3556203789</v>
        <stp/>
        <stp>BDP|13439791152605495032</stp>
        <tr r="C48" s="2"/>
      </tp>
      <tp t="s">
        <v>#N/A Requesting Data...2366831270</v>
        <stp/>
        <stp>BDP|11165145348163152343</stp>
        <tr r="AF25" s="2"/>
      </tp>
      <tp t="s">
        <v>#N/A Requesting Data...1083926292</v>
        <stp/>
        <stp>BDP|13872522344890672639</stp>
        <tr r="W13" s="2"/>
      </tp>
      <tp t="s">
        <v>#N/A N/A</v>
        <stp/>
        <stp>BDP|13859075650401449300</stp>
        <tr r="BB29" s="2"/>
      </tp>
      <tp t="s">
        <v>#N/A Requesting Data...2151465001</v>
        <stp/>
        <stp>BDP|10792146095874264899</stp>
        <tr r="W28" s="2"/>
      </tp>
      <tp t="s">
        <v>#N/A Requesting Data...3827123642</v>
        <stp/>
        <stp>BDP|15876880158135756925</stp>
        <tr r="B30" s="2"/>
      </tp>
      <tp t="s">
        <v>#N/A Requesting Data...220322644</v>
        <stp/>
        <stp>BDP|12485920419066582875</stp>
        <tr r="B57" s="2"/>
      </tp>
      <tp t="s">
        <v>#N/A Requesting Data...226328540</v>
        <stp/>
        <stp>BDP|10316472617030899177</stp>
        <tr r="C42" s="2"/>
      </tp>
      <tp t="s">
        <v>#N/A N/A</v>
        <stp/>
        <stp>BDP|17240235650757936346</stp>
        <tr r="F45" s="2"/>
      </tp>
      <tp t="s">
        <v>#N/A N/A</v>
        <stp/>
        <stp>BDP|13093288725856163138</stp>
        <tr r="P25" s="2"/>
      </tp>
      <tp t="s">
        <v>#N/A N/A</v>
        <stp/>
        <stp>BDP|12696152839194927024</stp>
        <tr r="AT55" s="2"/>
      </tp>
      <tp t="s">
        <v>#N/A Requesting Data...2950052966</v>
        <stp/>
        <stp>BDP|15675459462083821095</stp>
        <tr r="AB21" s="2"/>
        <tr r="AB22" s="2"/>
      </tp>
      <tp t="s">
        <v>#N/A N/A</v>
        <stp/>
        <stp>BDP|16885915862294911926</stp>
        <tr r="O34" s="2"/>
      </tp>
      <tp t="s">
        <v>#N/A Requesting Data...517475742</v>
        <stp/>
        <stp>BDP|17725965037509596036</stp>
        <tr r="U25" s="2"/>
      </tp>
      <tp t="s">
        <v>#N/A N/A</v>
        <stp/>
        <stp>BDP|11590797425796260688</stp>
        <tr r="H52" s="2"/>
      </tp>
      <tp t="s">
        <v>#N/A N/A</v>
        <stp/>
        <stp>BDP|13995157951856870571</stp>
        <tr r="G37" s="2"/>
      </tp>
      <tp t="s">
        <v>#N/A Requesting Data...1014849555</v>
        <stp/>
        <stp>BDP|14686367648367894025</stp>
        <tr r="W45" s="2"/>
      </tp>
      <tp t="s">
        <v>#N/A Requesting Data...3043530762</v>
        <stp/>
        <stp>BDP|14155750159266148494</stp>
        <tr r="B60" s="2"/>
      </tp>
      <tp t="s">
        <v>#N/A Requesting Data...3696816882</v>
        <stp/>
        <stp>BDP|12041033634060365503</stp>
        <tr r="L60" s="2"/>
      </tp>
      <tp t="s">
        <v>#N/A N/A</v>
        <stp/>
        <stp>BDP|17346970293166173518</stp>
        <tr r="G16" s="2"/>
      </tp>
      <tp t="s">
        <v>#N/A N/A</v>
        <stp/>
        <stp>BDP|14372661893796028909</stp>
        <tr r="G20" s="2"/>
      </tp>
      <tp t="s">
        <v>#N/A N/A</v>
        <stp/>
        <stp>BDP|14888580239201831770</stp>
        <tr r="F28" s="2"/>
      </tp>
      <tp t="s">
        <v>#N/A N/A</v>
        <stp/>
        <stp>BDH|10112338085679419601</stp>
        <tr r="M23" s="2"/>
      </tp>
      <tp t="s">
        <v>#N/A N/A</v>
        <stp/>
        <stp>BDH|13044937957512594956</stp>
        <tr r="M42" s="2"/>
      </tp>
      <tp t="s">
        <v>#N/A N/A</v>
        <stp/>
        <stp>BDH|17960569449240587274</stp>
        <tr r="D51" s="2"/>
      </tp>
      <tp t="s">
        <v>#N/A N/A</v>
        <stp/>
        <stp>BDH|10344522722165563614</stp>
        <tr r="M47" s="2"/>
      </tp>
      <tp t="s">
        <v>#N/A N/A</v>
        <stp/>
        <stp>BDH|16771066043931329770</stp>
        <tr r="M13" s="2"/>
      </tp>
      <tp t="s">
        <v>#N/A N/A</v>
        <stp/>
        <stp>BDH|18422555990959842966</stp>
        <tr r="D30" s="2"/>
      </tp>
      <tp t="s">
        <v>#N/A Requesting Data...1047518330</v>
        <stp/>
        <stp>BDP|12006163518127479033</stp>
        <tr r="AY47" s="2"/>
      </tp>
      <tp t="s">
        <v>#N/A Requesting Data...2317405254</v>
        <stp/>
        <stp>BDP|13356468218995486608</stp>
        <tr r="L59" s="2"/>
      </tp>
      <tp t="s">
        <v>#N/A N/A</v>
        <stp/>
        <stp>BDP|16982820099256871423</stp>
        <tr r="P53" s="2"/>
      </tp>
      <tp t="s">
        <v>#N/A N/A</v>
        <stp/>
        <stp>BDP|10813506906321784110</stp>
        <tr r="P23" s="2"/>
      </tp>
      <tp t="s">
        <v>#N/A N/A</v>
        <stp/>
        <stp>BDP|11378878003395960950</stp>
        <tr r="AU51" s="2"/>
      </tp>
      <tp t="s">
        <v>#N/A Requesting Data...1161518823</v>
        <stp/>
        <stp>BDP|10090789828917800723</stp>
        <tr r="L42" s="2"/>
      </tp>
      <tp t="s">
        <v>#N/A N/A</v>
        <stp/>
        <stp>BDP|15331551823825766285</stp>
        <tr r="AT30" s="2"/>
      </tp>
      <tp t="s">
        <v>#N/A Requesting Data...1716181876</v>
        <stp/>
        <stp>BDP|14127135558636494341</stp>
        <tr r="AB8" s="2"/>
      </tp>
      <tp t="s">
        <v>#N/A N/A</v>
        <stp/>
        <stp>BDP|10865688023597014692</stp>
        <tr r="G21" s="2"/>
      </tp>
      <tp t="s">
        <v>#N/A Requesting Data...3037163845</v>
        <stp/>
        <stp>BDP|14196005712411123182</stp>
        <tr r="C53" s="2"/>
      </tp>
      <tp t="s">
        <v>#N/A N/A</v>
        <stp/>
        <stp>BDP|13179656374187358093</stp>
        <tr r="BB25" s="2"/>
      </tp>
      <tp t="s">
        <v>#N/A Requesting Data...2849023808</v>
        <stp/>
        <stp>BDP|16981702563891604317</stp>
        <tr r="L32" s="2"/>
      </tp>
      <tp t="s">
        <v>#N/A Requesting Data...210552792</v>
        <stp/>
        <stp>BDP|14101120398151398844</stp>
        <tr r="W57" s="2"/>
      </tp>
      <tp t="s">
        <v>#N/A Requesting Data...2686497231</v>
        <stp/>
        <stp>BDP|17059492811591260643</stp>
        <tr r="BM1" s="2"/>
      </tp>
      <tp t="s">
        <v>#N/A N/A</v>
        <stp/>
        <stp>BDP|13212103705196957100</stp>
        <tr r="G43" s="2"/>
      </tp>
      <tp t="s">
        <v>#N/A Requesting Data...547509978</v>
        <stp/>
        <stp>BDP|12948751420175937749</stp>
        <tr r="B54" s="2"/>
      </tp>
      <tp t="s">
        <v>#N/A N/A</v>
        <stp/>
        <stp>BDP|17670358638311947334</stp>
        <tr r="AU31" s="2"/>
      </tp>
      <tp t="s">
        <v>#N/A N/A</v>
        <stp/>
        <stp>BDP|12496722274943779441</stp>
        <tr r="F17" s="2"/>
      </tp>
      <tp t="s">
        <v>#N/A N/A</v>
        <stp/>
        <stp>BDP|13199722722084136730</stp>
        <tr r="O31" s="2"/>
      </tp>
      <tp t="s">
        <v>#N/A Requesting Data...381502564</v>
        <stp/>
        <stp>BDP|15644431885194539868</stp>
        <tr r="U20" s="2"/>
      </tp>
      <tp t="s">
        <v>#N/A Requesting Data...3078048453</v>
        <stp/>
        <stp>BDP|16101165520749523910</stp>
        <tr r="AZ15" s="2"/>
      </tp>
      <tp t="s">
        <v>#N/A Requesting Data...3893168861</v>
        <stp/>
        <stp>BDP|13630595919160318260</stp>
        <tr r="BM3" s="2"/>
      </tp>
      <tp t="s">
        <v>#N/A N/A</v>
        <stp/>
        <stp>BDP|16195415911316548067</stp>
        <tr r="BB35" s="2"/>
      </tp>
      <tp t="s">
        <v>#N/A Requesting Data...728993291</v>
        <stp/>
        <stp>BDP|11918679503032150096</stp>
        <tr r="U28" s="2"/>
      </tp>
      <tp t="s">
        <v>#N/A N/A</v>
        <stp/>
        <stp>BDP|13448139445483528031</stp>
        <tr r="H55" s="2"/>
      </tp>
      <tp t="s">
        <v>#N/A Requesting Data...2872520340</v>
        <stp/>
        <stp>BDP|16944588462403166363</stp>
        <tr r="U59" s="2"/>
      </tp>
      <tp t="s">
        <v>#N/A N/A</v>
        <stp/>
        <stp>BDP|15363711413986074061</stp>
        <tr r="P32" s="2"/>
      </tp>
      <tp t="s">
        <v>#N/A Requesting Data...4001285707</v>
        <stp/>
        <stp>BDP|17070262617206533729</stp>
        <tr r="AF17" s="2"/>
      </tp>
      <tp t="s">
        <v>#N/A N/A</v>
        <stp/>
        <stp>BDH|12654961594386964110</stp>
        <tr r="D33" s="2"/>
      </tp>
    </main>
    <main first="bofaddin.rtdserver">
      <tp t="s">
        <v>#N/A Requesting Data...2199292593</v>
        <stp/>
        <stp>BDP|8462491073687595017</stp>
        <tr r="C50" s="2"/>
      </tp>
      <tp t="s">
        <v>#N/A N/A</v>
        <stp/>
        <stp>BDP|5084896066723579413</stp>
        <tr r="H50" s="2"/>
      </tp>
      <tp t="s">
        <v>#N/A Requesting Data...3705227997</v>
        <stp/>
        <stp>BDP|5591236746069054687</stp>
        <tr r="W46" s="2"/>
      </tp>
      <tp t="s">
        <v>#N/A Requesting Data...978640308</v>
        <stp/>
        <stp>BDP|3187758838423482809</stp>
        <tr r="K41" s="2"/>
      </tp>
      <tp t="s">
        <v>#N/A Requesting Data...3592397418</v>
        <stp/>
        <stp>BDP|4957813947324497023</stp>
        <tr r="AF46" s="2"/>
      </tp>
      <tp t="s">
        <v>#N/A N/A</v>
        <stp/>
        <stp>BDP|2863866424025730143</stp>
        <tr r="BB16" s="2"/>
      </tp>
      <tp t="s">
        <v>#N/A N/A</v>
        <stp/>
        <stp>BDP|6243598031479041546</stp>
        <tr r="P40" s="2"/>
      </tp>
      <tp t="s">
        <v>#N/A N/A</v>
        <stp/>
        <stp>BDP|3947555468855340990</stp>
        <tr r="BB26" s="2"/>
      </tp>
      <tp t="s">
        <v>#N/A Requesting Data...2575863606</v>
        <stp/>
        <stp>BDP|9292400128870112357</stp>
        <tr r="AZ41" s="2"/>
      </tp>
      <tp t="s">
        <v>#N/A N/A</v>
        <stp/>
        <stp>BDP|8216177439380789644</stp>
        <tr r="AU20" s="2"/>
      </tp>
      <tp t="s">
        <v>#N/A N/A</v>
        <stp/>
        <stp>BDP|4229739608947320850</stp>
        <tr r="P15" s="2"/>
      </tp>
      <tp t="s">
        <v>#N/A N/A</v>
        <stp/>
        <stp>BDH|7857411080985138247</stp>
        <tr r="D16" s="2"/>
      </tp>
      <tp t="s">
        <v>#N/A N/A</v>
        <stp/>
        <stp>BDP|2398552975308696485</stp>
        <tr r="AT8" s="2"/>
      </tp>
      <tp t="s">
        <v>#N/A N/A</v>
        <stp/>
        <stp>BDP|9204667773360698426</stp>
        <tr r="F54" s="2"/>
      </tp>
      <tp t="s">
        <v>#N/A N/A</v>
        <stp/>
        <stp>BDP|3648701273296159979</stp>
        <tr r="AU15" s="2"/>
      </tp>
      <tp t="s">
        <v>#N/A N/A</v>
        <stp/>
        <stp>BDP|5497339225909135104</stp>
        <tr r="Q42" s="2"/>
      </tp>
      <tp t="s">
        <v>#N/A N/A</v>
        <stp/>
        <stp>BDH|8113297168901404176</stp>
        <tr r="M26" s="2"/>
      </tp>
      <tp t="s">
        <v>#N/A Requesting Data...383856370</v>
        <stp/>
        <stp>BDP|7627152457919348665</stp>
        <tr r="W29" s="2"/>
      </tp>
      <tp t="s">
        <v>#N/A Requesting Data...2592606610</v>
        <stp/>
        <stp>BDP|2609333483327279254</stp>
        <tr r="AY12" s="2"/>
      </tp>
      <tp t="s">
        <v>#N/A Requesting Data...259964571</v>
        <stp/>
        <stp>BDP|8826961614839862544</stp>
        <tr r="W40" s="2"/>
      </tp>
      <tp t="s">
        <v>#N/A N/A</v>
        <stp/>
        <stp>BDP|4587696007718466694</stp>
        <tr r="AT29" s="2"/>
      </tp>
      <tp t="s">
        <v>#N/A Requesting Data...2953314347</v>
        <stp/>
        <stp>BDP|3559490261494372987</stp>
        <tr r="C31" s="2"/>
      </tp>
      <tp t="s">
        <v>#N/A N/A</v>
        <stp/>
        <stp>BDP|8346326740440078364</stp>
        <tr r="H36" s="2"/>
      </tp>
      <tp t="s">
        <v>#N/A Requesting Data...2669317440</v>
        <stp/>
        <stp>BDP|2829228178368403322</stp>
        <tr r="K8" s="2"/>
      </tp>
      <tp t="s">
        <v>#N/A Requesting Data...3422670062</v>
        <stp/>
        <stp>BDP|5134107893094606500</stp>
        <tr r="W25" s="2"/>
      </tp>
      <tp t="s">
        <v>#N/A Requesting Data...2809317312</v>
        <stp/>
        <stp>BDP|2287893237507187283</stp>
        <tr r="B34" s="2"/>
      </tp>
      <tp t="s">
        <v>#N/A Requesting Data...1132567132</v>
        <stp/>
        <stp>BDP|3220746376147530802</stp>
        <tr r="AB54" s="2"/>
      </tp>
      <tp t="s">
        <v>#N/A N/A</v>
        <stp/>
        <stp>BDH|3129052575771429905</stp>
        <tr r="M24" s="2"/>
      </tp>
      <tp t="s">
        <v>#N/A N/A</v>
        <stp/>
        <stp>BDP|7060609819945065838</stp>
        <tr r="H15" s="2"/>
      </tp>
      <tp t="s">
        <v>#N/A Requesting Data...1478078846</v>
        <stp/>
        <stp>BDP|3912855179818616992</stp>
        <tr r="B14" s="2"/>
      </tp>
      <tp t="s">
        <v>#N/A Requesting Data...4080873941</v>
        <stp/>
        <stp>BDP|3885955942454296776</stp>
        <tr r="AB60" s="2"/>
      </tp>
      <tp t="s">
        <v>#N/A Requesting Data...4134638098</v>
        <stp/>
        <stp>BDP|3666893235992327717</stp>
        <tr r="C54" s="2"/>
      </tp>
      <tp t="s">
        <v>#N/A N/A</v>
        <stp/>
        <stp>BDP|7726365497528699884</stp>
        <tr r="P30" s="2"/>
        <tr r="P28" s="2"/>
      </tp>
      <tp t="s">
        <v>#N/A N/A</v>
        <stp/>
        <stp>BDP|9256686171446217318</stp>
        <tr r="Q48" s="2"/>
      </tp>
      <tp t="s">
        <v>#N/A N/A</v>
        <stp/>
        <stp>BDP|8181645237139259989</stp>
        <tr r="BB32" s="2"/>
      </tp>
      <tp t="s">
        <v>#N/A N/A</v>
        <stp/>
        <stp>BDP|1818554262877789815</stp>
        <tr r="G56" s="2"/>
      </tp>
      <tp t="s">
        <v>#N/A Requesting Data...4188823541</v>
        <stp/>
        <stp>BDP|4994815356393119717</stp>
        <tr r="L45" s="2"/>
      </tp>
      <tp t="s">
        <v>#N/A Requesting Data...3676687196</v>
        <stp/>
        <stp>BDP|6319162019343393811</stp>
        <tr r="AF33" s="2"/>
      </tp>
      <tp t="s">
        <v>#N/A N/A</v>
        <stp/>
        <stp>BDP|7998837807251248319</stp>
        <tr r="Q36" s="2"/>
      </tp>
      <tp t="s">
        <v>#N/A N/A</v>
        <stp/>
        <stp>BDP|2207108912669932667</stp>
        <tr r="G47" s="2"/>
      </tp>
      <tp t="s">
        <v>#N/A Requesting Data...1731267999</v>
        <stp/>
        <stp>BDP|7346222406878996019</stp>
        <tr r="W34" s="2"/>
      </tp>
      <tp t="s">
        <v>#N/A N/A</v>
        <stp/>
        <stp>BDP|8999802927319120634</stp>
        <tr r="F11" s="2"/>
      </tp>
      <tp t="s">
        <v>#N/A N/A</v>
        <stp/>
        <stp>BDP|4835414977442589868</stp>
        <tr r="H18" s="2"/>
      </tp>
      <tp t="s">
        <v>#N/A N/A</v>
        <stp/>
        <stp>BDP|1022637543176569884</stp>
        <tr r="Q56" s="2"/>
      </tp>
      <tp t="s">
        <v>#N/A N/A</v>
        <stp/>
        <stp>BDP|5717327066465986886</stp>
        <tr r="AT9" s="2"/>
      </tp>
      <tp t="s">
        <v>#N/A N/A</v>
        <stp/>
        <stp>BDP|5936816673694908306</stp>
        <tr r="AU39" s="2"/>
      </tp>
      <tp t="s">
        <v>#N/A N/A</v>
        <stp/>
        <stp>BDP|5170917782281763859</stp>
        <tr r="AT25" s="2"/>
      </tp>
      <tp t="s">
        <v>#N/A N/A</v>
        <stp/>
        <stp>BDP|3232082870900816926</stp>
        <tr r="G35" s="2"/>
      </tp>
      <tp t="s">
        <v>#N/A Requesting Data...3754371981</v>
        <stp/>
        <stp>BDP|6436448157823435920</stp>
        <tr r="AZ29" s="2"/>
      </tp>
      <tp t="s">
        <v>#N/A N/A</v>
        <stp/>
        <stp>BDP|7251133380157975494</stp>
        <tr r="BB34" s="2"/>
      </tp>
      <tp t="s">
        <v>#N/A N/A</v>
        <stp/>
        <stp>BDP|1380673515203701808</stp>
        <tr r="BB31" s="2"/>
      </tp>
      <tp t="s">
        <v>#N/A Requesting Data...2972414101</v>
        <stp/>
        <stp>BDP|2515212131116747845</stp>
        <tr r="C8" s="2"/>
      </tp>
      <tp t="s">
        <v>#N/A N/A</v>
        <stp/>
        <stp>BDP|9319046225542306477</stp>
        <tr r="O60" s="2"/>
      </tp>
      <tp t="s">
        <v>#N/A Requesting Data...1186147795</v>
        <stp/>
        <stp>BDP|3371045846458259242</stp>
        <tr r="C30" s="2"/>
      </tp>
      <tp t="s">
        <v>#N/A N/A</v>
        <stp/>
        <stp>BDP|1130166415725259976</stp>
        <tr r="P57" s="2"/>
      </tp>
      <tp t="s">
        <v>#N/A Requesting Data...1290478399</v>
        <stp/>
        <stp>BDP|8328422335450240221</stp>
        <tr r="U17" s="2"/>
      </tp>
      <tp t="s">
        <v>#N/A Requesting Data...4111803668</v>
        <stp/>
        <stp>BDP|6679732660708056212</stp>
        <tr r="C39" s="2"/>
      </tp>
      <tp t="s">
        <v>#N/A Requesting Data...2139120138</v>
        <stp/>
        <stp>BDP|2471970516083738463</stp>
        <tr r="U27" s="2"/>
      </tp>
      <tp t="s">
        <v>#N/A N/A</v>
        <stp/>
        <stp>BDH|2444598610222847905</stp>
        <tr r="M50" s="2"/>
      </tp>
      <tp t="s">
        <v>#N/A Requesting Data...2953635374</v>
        <stp/>
        <stp>BDP|1555851601696837139</stp>
        <tr r="AY16" s="2"/>
      </tp>
      <tp t="s">
        <v>#N/A Requesting Data...354923865</v>
        <stp/>
        <stp>BDP|3422395259683727890</stp>
        <tr r="AF43" s="2"/>
      </tp>
      <tp t="s">
        <v>#N/A N/A</v>
        <stp/>
        <stp>BDP|9629715716065253489</stp>
        <tr r="BB15" s="2"/>
      </tp>
      <tp t="s">
        <v>#N/A N/A</v>
        <stp/>
        <stp>BDP|4816307935113331959</stp>
        <tr r="H54" s="2"/>
      </tp>
      <tp t="s">
        <v>#N/A N/A</v>
        <stp/>
        <stp>BDP|4637875200777320593</stp>
        <tr r="F49" s="2"/>
      </tp>
      <tp t="s">
        <v>#N/A Requesting Data...2566586775</v>
        <stp/>
        <stp>BDP|9448091037682916686</stp>
        <tr r="AB10" s="2"/>
      </tp>
      <tp t="s">
        <v>#N/A Requesting Data...4072369764</v>
        <stp/>
        <stp>BDP|3278123089375170117</stp>
        <tr r="AZ46" s="2"/>
      </tp>
      <tp t="s">
        <v>#N/A N/A</v>
        <stp/>
        <stp>BDP|1504997534903046671</stp>
        <tr r="AU28" s="2"/>
      </tp>
      <tp t="s">
        <v>#N/A Requesting Data...4112019098</v>
        <stp/>
        <stp>BDP|9627208918632836690</stp>
        <tr r="C43" s="2"/>
      </tp>
      <tp t="s">
        <v>#N/A N/A</v>
        <stp/>
        <stp>BDH|5815498451263748987</stp>
        <tr r="D8" s="2"/>
      </tp>
      <tp t="s">
        <v>#N/A Requesting Data...1451427123</v>
        <stp/>
        <stp>BDP|5064632688817169265</stp>
        <tr r="AF18" s="2"/>
      </tp>
      <tp t="s">
        <v>#N/A Requesting Data...2769798105</v>
        <stp/>
        <stp>BDP|8012235280384919878</stp>
        <tr r="W27" s="2"/>
      </tp>
      <tp t="s">
        <v>#N/A Requesting Data...2228658433</v>
        <stp/>
        <stp>BDP|9774727068814494246</stp>
        <tr r="AB25" s="2"/>
      </tp>
      <tp t="s">
        <v>#N/A N/A</v>
        <stp/>
        <stp>BDP|9951176027085929120</stp>
        <tr r="O8" s="2"/>
      </tp>
      <tp t="s">
        <v>#N/A Requesting Data...2337471190</v>
        <stp/>
        <stp>BDP|6448223174745724871</stp>
        <tr r="K11" s="2"/>
        <tr r="K12" s="2"/>
      </tp>
      <tp t="s">
        <v>#N/A N/A</v>
        <stp/>
        <stp>BDH|2487776573239041528</stp>
        <tr r="M15" s="2"/>
      </tp>
      <tp t="s">
        <v>#N/A N/A</v>
        <stp/>
        <stp>BDP|3749080389085663038</stp>
        <tr r="H58" s="2"/>
      </tp>
      <tp t="s">
        <v>#N/A N/A</v>
        <stp/>
        <stp>BDP|6013600095321598634</stp>
        <tr r="G55" s="2"/>
      </tp>
      <tp t="s">
        <v>#N/A Requesting Data...1925483803</v>
        <stp/>
        <stp>BDP|3565031926049296618</stp>
        <tr r="B15" s="2"/>
      </tp>
      <tp t="s">
        <v>#N/A N/A</v>
        <stp/>
        <stp>BDP|9508187737175374080</stp>
        <tr r="G39" s="2"/>
      </tp>
      <tp t="s">
        <v>#N/A N/A</v>
        <stp/>
        <stp>BDP|5527219628223596887</stp>
        <tr r="AT46" s="2"/>
      </tp>
      <tp t="s">
        <v>#N/A N/A</v>
        <stp/>
        <stp>BDP|6787198490902855210</stp>
        <tr r="H38" s="2"/>
      </tp>
      <tp t="s">
        <v>#N/A N/A</v>
        <stp/>
        <stp>BDP|2577294428369023530</stp>
        <tr r="G25" s="2"/>
      </tp>
      <tp t="s">
        <v>#N/A N/A</v>
        <stp/>
        <stp>BDP|2531846993874623904</stp>
        <tr r="AT18" s="2"/>
      </tp>
      <tp t="s">
        <v>#N/A Requesting Data...3819586913</v>
        <stp/>
        <stp>BDP|8846701156791857529</stp>
        <tr r="L47" s="2"/>
      </tp>
      <tp t="s">
        <v>#N/A N/A</v>
        <stp/>
        <stp>BDP|1947127324129312593</stp>
        <tr r="H22" s="2"/>
      </tp>
      <tp t="s">
        <v>#N/A Requesting Data...4147773661</v>
        <stp/>
        <stp>BDP|3961296671609348172</stp>
        <tr r="AY53" s="2"/>
      </tp>
      <tp t="s">
        <v>#N/A Requesting Data...1880221052</v>
        <stp/>
        <stp>BDP|6404930980638153135</stp>
        <tr r="U12" s="2"/>
      </tp>
      <tp t="s">
        <v>#N/A N/A</v>
        <stp/>
        <stp>BDP|9580483164847558361</stp>
        <tr r="H40" s="2"/>
      </tp>
      <tp t="s">
        <v>#N/A N/A</v>
        <stp/>
        <stp>BDP|9841732005231547001</stp>
        <tr r="Q39" s="2"/>
      </tp>
      <tp t="s">
        <v>#N/A Requesting Data...2263848362</v>
        <stp/>
        <stp>BDP|9556591994053024930</stp>
        <tr r="C11" s="2"/>
      </tp>
      <tp t="s">
        <v>#N/A N/A</v>
        <stp/>
        <stp>BDP|6839321393604843798</stp>
        <tr r="F38" s="2"/>
      </tp>
      <tp t="s">
        <v>#N/A Requesting Data...414766267</v>
        <stp/>
        <stp>BDP|2445641469374607977</stp>
        <tr r="AF56" s="2"/>
      </tp>
      <tp t="s">
        <v>#N/A Requesting Data...2625374343</v>
        <stp/>
        <stp>BDP|1625681692747330664</stp>
        <tr r="L43" s="2"/>
      </tp>
      <tp t="s">
        <v>#N/A Requesting Data...3970743006</v>
        <stp/>
        <stp>BDP|6612248020378854141</stp>
        <tr r="W54" s="2"/>
      </tp>
      <tp t="s">
        <v>#N/A Requesting Data...1346265241</v>
        <stp/>
        <stp>BDP|8954638767094593367</stp>
        <tr r="B19" s="2"/>
      </tp>
      <tp t="s">
        <v>#N/A Requesting Data...2364038553</v>
        <stp/>
        <stp>BDP|9895707416365766579</stp>
        <tr r="AZ58" s="2"/>
      </tp>
      <tp t="s">
        <v>#N/A Requesting Data...867658140</v>
        <stp/>
        <stp>BDP|1005712583660475197</stp>
        <tr r="AZ27" s="2"/>
      </tp>
      <tp t="s">
        <v>#N/A Requesting Data...2568321504</v>
        <stp/>
        <stp>BDP|7990822283218752035</stp>
        <tr r="K60" s="2"/>
      </tp>
      <tp t="s">
        <v>#N/A N/A</v>
        <stp/>
        <stp>BDH|9792627207241779190</stp>
        <tr r="M38" s="2"/>
      </tp>
      <tp t="s">
        <v>#N/A Requesting Data...2467744838</v>
        <stp/>
        <stp>BDP|5272818404677947530</stp>
        <tr r="W10" s="2"/>
      </tp>
      <tp t="s">
        <v>#N/A N/A</v>
        <stp/>
        <stp>BDP|5797254464859575713</stp>
        <tr r="AU58" s="2"/>
      </tp>
      <tp t="s">
        <v>#N/A N/A</v>
        <stp/>
        <stp>BDP|3359957025263652475</stp>
        <tr r="H10" s="2"/>
      </tp>
      <tp t="s">
        <v>#N/A Requesting Data...4036879216</v>
        <stp/>
        <stp>BDP|9206479958712744591</stp>
        <tr r="AZ48" s="2"/>
      </tp>
      <tp t="s">
        <v>#N/A N/A</v>
        <stp/>
        <stp>BDP|6093950807157772760</stp>
        <tr r="O36" s="2"/>
      </tp>
      <tp t="s">
        <v>#N/A N/A</v>
        <stp/>
        <stp>BDH|5557837649173502590</stp>
        <tr r="M12" s="2"/>
        <tr r="M11" s="2"/>
      </tp>
      <tp t="s">
        <v>#N/A Requesting Data...2561544262</v>
        <stp/>
        <stp>BDP|2858929273144148784</stp>
        <tr r="K21" s="2"/>
        <tr r="K22" s="2"/>
      </tp>
      <tp t="s">
        <v>#N/A N/A</v>
        <stp/>
        <stp>BDP|2486589790858506996</stp>
        <tr r="Q46" s="2"/>
      </tp>
      <tp t="s">
        <v>#N/A N/A</v>
        <stp/>
        <stp>BDP|5635804204364397607</stp>
        <tr r="F34" s="2"/>
      </tp>
      <tp t="s">
        <v>#N/A N/A</v>
        <stp/>
        <stp>BDP|6720120283167242753</stp>
        <tr r="Q52" s="2"/>
      </tp>
      <tp t="s">
        <v>#N/A Requesting Data...3664453908</v>
        <stp/>
        <stp>BDP|1247800574788302947</stp>
        <tr r="U52" s="2"/>
      </tp>
      <tp t="s">
        <v>#N/A N/A</v>
        <stp/>
        <stp>BDH|7137113092421447177</stp>
        <tr r="D56" s="2"/>
      </tp>
      <tp t="s">
        <v>#N/A Requesting Data...3383069843</v>
        <stp/>
        <stp>BDP|8459774601814470406</stp>
        <tr r="U26" s="2"/>
      </tp>
      <tp t="s">
        <v>#N/A Requesting Data...3075930425</v>
        <stp/>
        <stp>BDP|6370833545820688571</stp>
        <tr r="AB45" s="2"/>
      </tp>
      <tp t="s">
        <v>#N/A Requesting Data...2914654761</v>
        <stp/>
        <stp>BDP|1478265265599317301</stp>
        <tr r="AZ32" s="2"/>
      </tp>
      <tp t="s">
        <v>#N/A Requesting Data...1799043536</v>
        <stp/>
        <stp>BDP|6371175251789991490</stp>
        <tr r="BM4" s="2"/>
      </tp>
      <tp t="s">
        <v>#N/A Requesting Data...3321326236</v>
        <stp/>
        <stp>BDP|3887522304018847130</stp>
        <tr r="K19" s="2"/>
      </tp>
      <tp t="s">
        <v>#N/A N/A</v>
        <stp/>
        <stp>BDP|1602628040188581444</stp>
        <tr r="BB20" s="2"/>
      </tp>
      <tp t="s">
        <v>#N/A Requesting Data...1695665826</v>
        <stp/>
        <stp>BDP|5493876404244425669</stp>
        <tr r="U21" s="2"/>
      </tp>
      <tp t="s">
        <v>#N/A N/A</v>
        <stp/>
        <stp>BDP|9628757700394017295</stp>
        <tr r="F50" s="2"/>
      </tp>
      <tp t="s">
        <v>#N/A N/A</v>
        <stp/>
        <stp>BDP|9569602975877994737</stp>
        <tr r="P35" s="2"/>
      </tp>
      <tp t="s">
        <v>#N/A Requesting Data...2721248672</v>
        <stp/>
        <stp>BDP|2046265286901899109</stp>
        <tr r="AZ43" s="2"/>
      </tp>
      <tp t="s">
        <v>#N/A Requesting Data...752215063</v>
        <stp/>
        <stp>BDP|8509770528253666645</stp>
        <tr r="AZ44" s="2"/>
      </tp>
      <tp t="s">
        <v>#N/A Requesting Data...2952327914</v>
        <stp/>
        <stp>BDP|4358515404648657186</stp>
        <tr r="BO3" s="2"/>
      </tp>
      <tp t="s">
        <v>#N/A Requesting Data...4097711726</v>
        <stp/>
        <stp>BDP|9395482473407289534</stp>
        <tr r="B17" s="2"/>
      </tp>
      <tp t="s">
        <v>#N/A Requesting Data...2625290226</v>
        <stp/>
        <stp>BDP|8649662839781555451</stp>
        <tr r="K46" s="2"/>
      </tp>
      <tp t="s">
        <v>#N/A Requesting Data...3688527345</v>
        <stp/>
        <stp>BDP|9788669702627254086</stp>
        <tr r="L37" s="2"/>
      </tp>
      <tp t="s">
        <v>#N/A N/A</v>
        <stp/>
        <stp>BDP|3231490644973060816</stp>
        <tr r="Q25" s="2"/>
      </tp>
      <tp t="s">
        <v>#N/A N/A</v>
        <stp/>
        <stp>BDP|1107031348765473804</stp>
        <tr r="G59" s="2"/>
      </tp>
      <tp t="s">
        <v>#N/A Requesting Data...3152258233</v>
        <stp/>
        <stp>BDP|9809608872577364762</stp>
        <tr r="AF52" s="2"/>
      </tp>
      <tp t="s">
        <v>#N/A N/A</v>
        <stp/>
        <stp>BDP|2808073088161090389</stp>
        <tr r="H47" s="2"/>
      </tp>
      <tp t="s">
        <v>#N/A Requesting Data...774591901</v>
        <stp/>
        <stp>BDP|9583620452970243280</stp>
        <tr r="B8" s="2"/>
      </tp>
      <tp t="s">
        <v>#N/A N/A</v>
        <stp/>
        <stp>BDP|3299858774225979169</stp>
        <tr r="Q23" s="2"/>
      </tp>
      <tp t="s">
        <v>#N/A N/A</v>
        <stp/>
        <stp>BDP|5853671275558630419</stp>
        <tr r="AT45" s="2"/>
      </tp>
      <tp t="s">
        <v>#N/A Requesting Data...2657396378</v>
        <stp/>
        <stp>BDP|5152212206088898732</stp>
        <tr r="AY34" s="2"/>
      </tp>
      <tp t="s">
        <v>#N/A N/A</v>
        <stp/>
        <stp>BDP|1395167829049666376</stp>
        <tr r="AU17" s="2"/>
      </tp>
      <tp t="s">
        <v>#N/A Requesting Data...3192572863</v>
        <stp/>
        <stp>BDP|9384610501381455656</stp>
        <tr r="W21" s="2"/>
      </tp>
      <tp t="s">
        <v>#N/A N/A</v>
        <stp/>
        <stp>BDH|8312436251692716354</stp>
        <tr r="M49" s="2"/>
      </tp>
      <tp t="s">
        <v>#N/A N/A</v>
        <stp/>
        <stp>BDP|6579640075858180754</stp>
        <tr r="P29" s="2"/>
      </tp>
      <tp t="s">
        <v>#N/A Requesting Data...421710398</v>
        <stp/>
        <stp>BDP|5671218740153619803</stp>
        <tr r="L55" s="2"/>
      </tp>
      <tp t="s">
        <v>#N/A Requesting Data...1444730064</v>
        <stp/>
        <stp>BDP|4095747734989634175</stp>
        <tr r="AZ49" s="2"/>
      </tp>
      <tp t="s">
        <v>#N/A Requesting Data...4060601727</v>
        <stp/>
        <stp>BDP|3201726697720208539</stp>
        <tr r="K33" s="2"/>
      </tp>
      <tp t="s">
        <v>#N/A Requesting Data...2854615327</v>
        <stp/>
        <stp>BDP|6661223460653273904</stp>
        <tr r="B13" s="2"/>
      </tp>
      <tp t="s">
        <v>#N/A N/A</v>
        <stp/>
        <stp>BDP|6839822341155862744</stp>
        <tr r="G26" s="2"/>
      </tp>
      <tp t="s">
        <v>#N/A N/A</v>
        <stp/>
        <stp>BDP|2292909765576865387</stp>
        <tr r="F39" s="2"/>
      </tp>
      <tp t="s">
        <v>#N/A N/A</v>
        <stp/>
        <stp>BDH|7426562727511097921</stp>
        <tr r="M56" s="2"/>
      </tp>
      <tp t="s">
        <v>#N/A N/A</v>
        <stp/>
        <stp>BDP|8529126974847667119</stp>
        <tr r="P12" s="2"/>
        <tr r="P11" s="2"/>
      </tp>
      <tp t="s">
        <v>#N/A Requesting Data...741235369</v>
        <stp/>
        <stp>BDP|6421971540604675717</stp>
        <tr r="AB15" s="2"/>
      </tp>
      <tp t="s">
        <v>#N/A N/A</v>
        <stp/>
        <stp>BDH|4098358150542383827</stp>
        <tr r="M53" s="2"/>
      </tp>
      <tp t="s">
        <v>#N/A N/A</v>
        <stp/>
        <stp>BDH|3656040680053073074</stp>
        <tr r="M9" s="2"/>
      </tp>
      <tp t="s">
        <v>#N/A N/A</v>
        <stp/>
        <stp>BDP|9970986255868714490</stp>
        <tr r="AT24" s="2"/>
      </tp>
      <tp t="s">
        <v>#N/A N/A</v>
        <stp/>
        <stp>BDH|4724630229361415832</stp>
        <tr r="D57" s="2"/>
      </tp>
      <tp t="s">
        <v>#N/A N/A</v>
        <stp/>
        <stp>BDP|2025888873787367332</stp>
        <tr r="G9" s="2"/>
      </tp>
      <tp t="s">
        <v>#N/A N/A</v>
        <stp/>
        <stp>BDP|8896833240258699560</stp>
        <tr r="AU34" s="2"/>
      </tp>
      <tp t="s">
        <v>#N/A Requesting Data...1777818652</v>
        <stp/>
        <stp>BDP|3285143562825814872</stp>
        <tr r="K23" s="2"/>
      </tp>
      <tp t="s">
        <v>#N/A Requesting Data...1960200747</v>
        <stp/>
        <stp>BDP|3982191763824830906</stp>
        <tr r="W60" s="2"/>
      </tp>
      <tp t="s">
        <v>#N/A N/A</v>
        <stp/>
        <stp>BDH|6374090662399478073</stp>
        <tr r="D21" s="2"/>
      </tp>
      <tp t="s">
        <v>#N/A Requesting Data...506581915</v>
        <stp/>
        <stp>BDP|4883476440464623903</stp>
        <tr r="U48" s="2"/>
      </tp>
      <tp t="s">
        <v>#N/A Requesting Data...976352319</v>
        <stp/>
        <stp>BDP|3107994636589207922</stp>
        <tr r="C47" s="2"/>
      </tp>
      <tp t="s">
        <v>#N/A Requesting Data...3791412780</v>
        <stp/>
        <stp>BDP|8626337527471462183</stp>
        <tr r="AB41" s="2"/>
      </tp>
      <tp t="s">
        <v>#N/A Requesting Data...1657732266</v>
        <stp/>
        <stp>BDP|4636199907778054477</stp>
        <tr r="AF36" s="2"/>
      </tp>
      <tp t="s">
        <v>#N/A Requesting Data...4004563176</v>
        <stp/>
        <stp>BDP|1074746098992067430</stp>
        <tr r="AB18" s="2"/>
      </tp>
      <tp t="s">
        <v>#N/A Requesting Data...633223023</v>
        <stp/>
        <stp>BDP|8607985580210634047</stp>
        <tr r="K34" s="2"/>
      </tp>
      <tp t="s">
        <v>#N/A N/A</v>
        <stp/>
        <stp>BDP|1489377629310122961</stp>
        <tr r="AU29" s="2"/>
      </tp>
      <tp t="s">
        <v>#N/A N/A</v>
        <stp/>
        <stp>BDP|3065399219308540088</stp>
        <tr r="AU25" s="2"/>
      </tp>
      <tp t="s">
        <v>#N/A N/A</v>
        <stp/>
        <stp>BDP|5990937392664347869</stp>
        <tr r="BB60" s="2"/>
      </tp>
      <tp t="s">
        <v>#N/A N/A</v>
        <stp/>
        <stp>BDH|2698159087563163181</stp>
        <tr r="D28" s="2"/>
      </tp>
      <tp t="s">
        <v>#N/A N/A</v>
        <stp/>
        <stp>BDH|8674565187329309596</stp>
        <tr r="D9" s="2"/>
      </tp>
      <tp t="s">
        <v>#N/A Requesting Data...2764465637</v>
        <stp/>
        <stp>BDP|1566898232991564293</stp>
        <tr r="L20" s="2"/>
      </tp>
      <tp t="s">
        <v>#N/A N/A</v>
        <stp/>
        <stp>BDP|5995166672583845966</stp>
        <tr r="F10" s="2"/>
      </tp>
      <tp t="s">
        <v>#N/A Requesting Data...4096433400</v>
        <stp/>
        <stp>BDP|5198973774692052013</stp>
        <tr r="W35" s="2"/>
      </tp>
      <tp t="s">
        <v>#N/A N/A</v>
        <stp/>
        <stp>BDP|2291007562905285813</stp>
        <tr r="BB27" s="2"/>
      </tp>
      <tp t="s">
        <v>#N/A Requesting Data...2490444182</v>
        <stp/>
        <stp>BDP|2185749886040927496</stp>
        <tr r="AF24" s="2"/>
      </tp>
      <tp t="s">
        <v>#N/A N/A</v>
        <stp/>
        <stp>BDP|3746706585573449657</stp>
        <tr r="P42" s="2"/>
      </tp>
      <tp t="s">
        <v>#N/A Requesting Data...3317374045</v>
        <stp/>
        <stp>BDP|3930209295632477382</stp>
        <tr r="U14" s="2"/>
      </tp>
      <tp t="s">
        <v>#N/A N/A</v>
        <stp/>
        <stp>BDP|7360250099060763588</stp>
        <tr r="P31" s="2"/>
      </tp>
      <tp t="s">
        <v>#N/A N/A</v>
        <stp/>
        <stp>BDP|3854033899943340016</stp>
        <tr r="BB45" s="2"/>
      </tp>
      <tp t="s">
        <v>#N/A N/A</v>
        <stp/>
        <stp>BDP|5129249779900574998</stp>
        <tr r="F30" s="2"/>
      </tp>
      <tp t="s">
        <v>#N/A N/A</v>
        <stp/>
        <stp>BDH|6041262290965718111</stp>
        <tr r="M39" s="2"/>
      </tp>
      <tp t="s">
        <v>#N/A Requesting Data...974138355</v>
        <stp/>
        <stp>BDP|5176820512943014606</stp>
        <tr r="K16" s="2"/>
        <tr r="K17" s="2"/>
      </tp>
      <tp t="s">
        <v>#N/A N/A</v>
        <stp/>
        <stp>BDP|7288851411571365643</stp>
        <tr r="H16" s="2"/>
      </tp>
      <tp t="s">
        <v>#N/A Requesting Data...2796829252</v>
        <stp/>
        <stp>BDP|4628816766640856383</stp>
        <tr r="AZ10" s="2"/>
      </tp>
      <tp t="s">
        <v>#N/A N/A</v>
        <stp/>
        <stp>BDP|5915916229942157571</stp>
        <tr r="BB47" s="2"/>
      </tp>
      <tp t="s">
        <v>#N/A Requesting Data...3767379233</v>
        <stp/>
        <stp>BDP|1026222580910317266</stp>
        <tr r="BN1" s="2"/>
      </tp>
      <tp t="s">
        <v>#N/A Requesting Data...2805321902</v>
        <stp/>
        <stp>BDP|5554923665856178548</stp>
        <tr r="W26" s="2"/>
      </tp>
      <tp t="s">
        <v>#N/A N/A</v>
        <stp/>
        <stp>BDP|2064856192488074207</stp>
        <tr r="AU18" s="2"/>
      </tp>
      <tp t="s">
        <v>#N/A Requesting Data...3767409144</v>
        <stp/>
        <stp>BDP|6928828839794339054</stp>
        <tr r="AY51" s="2"/>
      </tp>
      <tp t="s">
        <v>#N/A N/A</v>
        <stp/>
        <stp>BDP|7168879451834477761</stp>
        <tr r="O15" s="2"/>
      </tp>
      <tp t="s">
        <v>#N/A Requesting Data...1050782808</v>
        <stp/>
        <stp>BDP|2955438834348419717</stp>
        <tr r="AY43" s="2"/>
      </tp>
      <tp t="s">
        <v>#N/A N/A</v>
        <stp/>
        <stp>BDP|4367327690326947237</stp>
        <tr r="F31" s="2"/>
      </tp>
      <tp t="s">
        <v>#N/A Requesting Data...4248339601</v>
        <stp/>
        <stp>BDP|8110315600647084686</stp>
        <tr r="L23" s="2"/>
      </tp>
      <tp t="s">
        <v>#N/A N/A</v>
        <stp/>
        <stp>BDP|3052657728729697433</stp>
        <tr r="AU40" s="2"/>
      </tp>
      <tp t="s">
        <v>#N/A Requesting Data...2702147877</v>
        <stp/>
        <stp>BDP|7370894105767143265</stp>
        <tr r="AF34" s="2"/>
      </tp>
      <tp t="s">
        <v>#N/A Requesting Data...3381063681</v>
        <stp/>
        <stp>BDP|1561654383946373388</stp>
        <tr r="AF32" s="2"/>
      </tp>
      <tp t="s">
        <v>#N/A Requesting Data...3951447677</v>
        <stp/>
        <stp>BDP|8270883362069631560</stp>
        <tr r="B37" s="2"/>
      </tp>
      <tp t="s">
        <v>#N/A Requesting Data...3964898616</v>
        <stp/>
        <stp>BDP|2906167412348240005</stp>
        <tr r="U57" s="2"/>
      </tp>
      <tp t="s">
        <v>#N/A N/A</v>
        <stp/>
        <stp>BDP|1256768077293934861</stp>
        <tr r="H53" s="2"/>
      </tp>
      <tp t="s">
        <v>#N/A N/A</v>
        <stp/>
        <stp>BDP|1357933050284451384</stp>
        <tr r="H57" s="2"/>
      </tp>
      <tp t="s">
        <v>#N/A N/A</v>
        <stp/>
        <stp>BDP|9229281007541008009</stp>
        <tr r="BB49" s="2"/>
      </tp>
      <tp t="s">
        <v>#N/A Requesting Data...1061954353</v>
        <stp/>
        <stp>BDP|7527765811778626397</stp>
        <tr r="AZ45" s="2"/>
      </tp>
      <tp t="s">
        <v>#N/A Requesting Data...3552818905</v>
        <stp/>
        <stp>BDP|7095671564005165806</stp>
        <tr r="AY39" s="2"/>
      </tp>
      <tp t="s">
        <v>#N/A N/A</v>
        <stp/>
        <stp>BDP|7361873117253995784</stp>
        <tr r="AT48" s="2"/>
      </tp>
      <tp t="s">
        <v>#N/A N/A</v>
        <stp/>
        <stp>BDP|8106859983787550504</stp>
        <tr r="O43" s="2"/>
      </tp>
      <tp t="s">
        <v>#N/A Requesting Data...962465776</v>
        <stp/>
        <stp>BDP|3185237396586092466</stp>
        <tr r="W30" s="2"/>
      </tp>
      <tp t="s">
        <v>#N/A N/A</v>
        <stp/>
        <stp>BDH|9452758703294786078</stp>
        <tr r="M19" s="2"/>
      </tp>
      <tp t="s">
        <v>#N/A N/A</v>
        <stp/>
        <stp>BDP|3488534690037633226</stp>
        <tr r="BB53" s="2"/>
      </tp>
      <tp t="s">
        <v>#N/A Requesting Data...2397533618</v>
        <stp/>
        <stp>BDP|2072044682111678134</stp>
        <tr r="AZ60" s="2"/>
      </tp>
      <tp t="s">
        <v>#N/A Requesting Data...1819825223</v>
        <stp/>
        <stp>BDP|7352343700257167957</stp>
        <tr r="U36" s="2"/>
      </tp>
      <tp t="s">
        <v>#N/A Requesting Data...2060018907</v>
        <stp/>
        <stp>BDP|3623886680811643893</stp>
        <tr r="AB28" s="2"/>
        <tr r="AB30" s="2"/>
      </tp>
      <tp t="s">
        <v>#N/A N/A</v>
        <stp/>
        <stp>BDP|5813301691110144596</stp>
        <tr r="H11" s="2"/>
      </tp>
      <tp t="s">
        <v>#N/A N/A</v>
        <stp/>
        <stp>BDP|9395845510718008269</stp>
        <tr r="F12" s="2"/>
      </tp>
      <tp t="s">
        <v>#N/A Requesting Data...2163673578</v>
        <stp/>
        <stp>BDP|6967614798071356223</stp>
        <tr r="K57" s="2"/>
      </tp>
      <tp t="s">
        <v>#N/A Requesting Data...4207537300</v>
        <stp/>
        <stp>BDP|9600126632187435633</stp>
        <tr r="K50" s="2"/>
      </tp>
      <tp t="s">
        <v>#N/A N/A</v>
        <stp/>
        <stp>BDP|8622844937710156925</stp>
        <tr r="BB59" s="2"/>
      </tp>
      <tp t="s">
        <v>#N/A Requesting Data...2811192137</v>
        <stp/>
        <stp>BDP|9054547074769710807</stp>
        <tr r="AF50" s="2"/>
      </tp>
      <tp t="s">
        <v>#N/A Requesting Data...3619309112</v>
        <stp/>
        <stp>BDP|7886109468438315241</stp>
        <tr r="AY18" s="2"/>
      </tp>
      <tp t="s">
        <v>#N/A N/A</v>
        <stp/>
        <stp>BDP|6145641247319442715</stp>
        <tr r="F24" s="2"/>
      </tp>
      <tp t="s">
        <v>#N/A N/A</v>
        <stp/>
        <stp>BDH|2681721759302399898</stp>
        <tr r="D45" s="2"/>
      </tp>
      <tp t="s">
        <v>#N/A N/A</v>
        <stp/>
        <stp>BDP|6416847186194185837</stp>
        <tr r="H49" s="2"/>
      </tp>
      <tp t="s">
        <v>#N/A Requesting Data...3649334699</v>
        <stp/>
        <stp>BDP|2502000257954352950</stp>
        <tr r="L40" s="2"/>
      </tp>
      <tp t="s">
        <v>#N/A Requesting Data...4096209814</v>
        <stp/>
        <stp>BDP|1254369214401165851</stp>
        <tr r="B41" s="2"/>
      </tp>
      <tp t="s">
        <v>#N/A N/A</v>
        <stp/>
        <stp>BDP|4230604205429254106</stp>
        <tr r="H39" s="2"/>
      </tp>
      <tp t="s">
        <v>#N/A Requesting Data...1225744049</v>
        <stp/>
        <stp>BDP|7340869002502818658</stp>
        <tr r="U45" s="2"/>
      </tp>
      <tp t="s">
        <v>#N/A N/A</v>
        <stp/>
        <stp>BDP|4860141082282279465</stp>
        <tr r="O19" s="2"/>
      </tp>
      <tp t="s">
        <v>#N/A N/A</v>
        <stp/>
        <stp>BDH|3557139318758089058</stp>
        <tr r="M36" s="2"/>
      </tp>
      <tp t="s">
        <v>#N/A N/A</v>
        <stp/>
        <stp>BDP|1099391395383420308</stp>
        <tr r="Q60" s="2"/>
      </tp>
      <tp t="s">
        <v>#N/A Requesting Data...3771265547</v>
        <stp/>
        <stp>BDP|8566132639365671403</stp>
        <tr r="U47" s="2"/>
      </tp>
      <tp t="s">
        <v>#N/A N/A</v>
        <stp/>
        <stp>BDP|5405777935168991269</stp>
        <tr r="G38" s="2"/>
      </tp>
      <tp t="s">
        <v>#N/A Requesting Data...3121100639</v>
        <stp/>
        <stp>BDP|3983348010622510860</stp>
        <tr r="B43" s="2"/>
      </tp>
      <tp t="s">
        <v>#N/A N/A</v>
        <stp/>
        <stp>BDP|4297517799173665036</stp>
        <tr r="P20" s="2"/>
      </tp>
      <tp t="s">
        <v>#N/A Requesting Data...652055689</v>
        <stp/>
        <stp>BDP|4239908849952694025</stp>
        <tr r="AY58" s="2"/>
      </tp>
      <tp t="s">
        <v>#N/A N/A</v>
        <stp/>
        <stp>BDP|3114918363742820542</stp>
        <tr r="O10" s="2"/>
      </tp>
      <tp t="s">
        <v>#N/A Requesting Data...4005234110</v>
        <stp/>
        <stp>BDP|4388809730481455582</stp>
        <tr r="AB50" s="2"/>
      </tp>
      <tp t="s">
        <v>#N/A N/A</v>
        <stp/>
        <stp>BDP|8418406478989757970</stp>
        <tr r="BB10" s="2"/>
      </tp>
      <tp t="s">
        <v>#N/A N/A</v>
        <stp/>
        <stp>BDP|4971360812315714875</stp>
        <tr r="G15" s="2"/>
      </tp>
      <tp t="s">
        <v>#N/A Requesting Data...948212585</v>
        <stp/>
        <stp>BDP|9818976949587460801</stp>
        <tr r="AZ14" s="2"/>
      </tp>
      <tp t="s">
        <v>#N/A Requesting Data...680034504</v>
        <stp/>
        <stp>BDP|1626856712363353006</stp>
        <tr r="W32" s="2"/>
      </tp>
      <tp t="s">
        <v>#N/A N/A</v>
        <stp/>
        <stp>BDP|7927549101981959852</stp>
        <tr r="AT32" s="2"/>
      </tp>
      <tp t="s">
        <v>#N/A N/A</v>
        <stp/>
        <stp>BDP|2895289876044622805</stp>
        <tr r="Q27" s="2"/>
      </tp>
      <tp t="s">
        <v>#N/A N/A</v>
        <stp/>
        <stp>BDP|3990371700493647897</stp>
        <tr r="G28" s="2"/>
      </tp>
      <tp t="s">
        <v>#N/A N/A</v>
        <stp/>
        <stp>BDP|2985991741096606218</stp>
        <tr r="F20" s="2"/>
      </tp>
      <tp t="s">
        <v>#N/A N/A</v>
        <stp/>
        <stp>BDP|4647245397793418774</stp>
        <tr r="AT51" s="2"/>
      </tp>
      <tp t="s">
        <v>#N/A Requesting Data...4194623846</v>
        <stp/>
        <stp>BDP|7044178981360826595</stp>
        <tr r="K25" s="2"/>
      </tp>
      <tp t="s">
        <v>#N/A Requesting Data...1624996183</v>
        <stp/>
        <stp>BDP|6578821707635465039</stp>
        <tr r="C28" s="2"/>
      </tp>
      <tp t="s">
        <v>#N/A Requesting Data...1465525821</v>
        <stp/>
        <stp>BDP|9617894392496367597</stp>
        <tr r="B36" s="2"/>
      </tp>
      <tp t="s">
        <v>#N/A N/A</v>
        <stp/>
        <stp>BDP|9053904488782975163</stp>
        <tr r="Q32" s="2"/>
      </tp>
      <tp t="s">
        <v>#N/A N/A</v>
        <stp/>
        <stp>BDP|6626949400971331564</stp>
        <tr r="F47" s="2"/>
      </tp>
      <tp t="s">
        <v>#N/A Requesting Data...3431373751</v>
        <stp/>
        <stp>BDP|7354715683421196244</stp>
        <tr r="B12" s="2"/>
      </tp>
      <tp t="s">
        <v>#N/A Requesting Data...2746673932</v>
        <stp/>
        <stp>BDP|8262754144827364746</stp>
        <tr r="AF53" s="2"/>
      </tp>
      <tp t="s">
        <v>#N/A N/A</v>
        <stp/>
        <stp>BDP|5198805685687489953</stp>
        <tr r="Q10" s="2"/>
      </tp>
      <tp t="s">
        <v>#N/A Requesting Data...2930352010</v>
        <stp/>
        <stp>BDP|7497321356124269187</stp>
        <tr r="W50" s="2"/>
      </tp>
      <tp t="s">
        <v>#N/A Requesting Data...3239185529</v>
        <stp/>
        <stp>BDP|5914682371208206880</stp>
        <tr r="AZ37" s="2"/>
      </tp>
      <tp t="s">
        <v>#N/A Requesting Data...3792614660</v>
        <stp/>
        <stp>BDP|8332553276609264783</stp>
        <tr r="AY9" s="2"/>
      </tp>
      <tp t="s">
        <v>#N/A Requesting Data...3478248625</v>
        <stp/>
        <stp>BDP|6105423339650476547</stp>
        <tr r="AZ38" s="2"/>
      </tp>
      <tp t="s">
        <v>#N/A N/A</v>
        <stp/>
        <stp>BDP|3672865092933167584</stp>
        <tr r="F16" s="2"/>
      </tp>
      <tp t="s">
        <v>#N/A N/A</v>
        <stp/>
        <stp>BDP|7248780939803176498</stp>
        <tr r="H9" s="2"/>
      </tp>
      <tp t="s">
        <v>#N/A N/A</v>
        <stp/>
        <stp>BDH|9406909764907172588</stp>
        <tr r="D40" s="2"/>
      </tp>
      <tp t="s">
        <v>#N/A Requesting Data...2748927848</v>
        <stp/>
        <stp>BDP|2154111415834378281</stp>
        <tr r="AF47" s="2"/>
      </tp>
      <tp t="s">
        <v>#N/A N/A</v>
        <stp/>
        <stp>BDP|2758288125805249378</stp>
        <tr r="Q31" s="2"/>
      </tp>
      <tp t="s">
        <v>#N/A N/A</v>
        <stp/>
        <stp>BDP|8770322889911959693</stp>
        <tr r="AT31" s="2"/>
      </tp>
      <tp t="s">
        <v>#N/A Requesting Data...3975474471</v>
        <stp/>
        <stp>BDP|8946392498036462000</stp>
        <tr r="C59" s="2"/>
      </tp>
      <tp t="s">
        <v>#N/A N/A</v>
        <stp/>
        <stp>BDP|2923777705391413023</stp>
        <tr r="F8" s="2"/>
      </tp>
      <tp t="s">
        <v>#N/A Requesting Data...2779560320</v>
        <stp/>
        <stp>BDP|6747178138409265986</stp>
        <tr r="AE4" s="2"/>
      </tp>
      <tp t="s">
        <v>#N/A Requesting Data...2354790445</v>
        <stp/>
        <stp>BDP|4961999692921908197</stp>
        <tr r="AB26" s="2"/>
      </tp>
      <tp t="s">
        <v>#N/A N/A</v>
        <stp/>
        <stp>BDP|9371642599731824343</stp>
        <tr r="F23" s="2"/>
      </tp>
      <tp t="s">
        <v>#N/A Requesting Data...2169966795</v>
        <stp/>
        <stp>BDP|1923056626623835418</stp>
        <tr r="C15" s="2"/>
      </tp>
      <tp t="s">
        <v>#N/A N/A</v>
        <stp/>
        <stp>BDP|7693409476488731874</stp>
        <tr r="H26" s="2"/>
      </tp>
      <tp t="s">
        <v>#N/A Requesting Data...3923089097</v>
        <stp/>
        <stp>BDP|8037659686041499371</stp>
        <tr r="W24" s="2"/>
      </tp>
      <tp t="s">
        <v>#N/A Requesting Data...1833525339</v>
        <stp/>
        <stp>BDP|9109441933953371958</stp>
        <tr r="C40" s="2"/>
      </tp>
      <tp t="s">
        <v>#N/A Requesting Data...929340640</v>
        <stp/>
        <stp>BDP|5229155671751027671</stp>
        <tr r="U23" s="2"/>
      </tp>
      <tp t="s">
        <v>#N/A Requesting Data...4039247579</v>
        <stp/>
        <stp>BDP|7620080532742921245</stp>
        <tr r="K49" s="2"/>
      </tp>
      <tp t="s">
        <v>#N/A Requesting Data...3070573050</v>
        <stp/>
        <stp>BDP|4468488878015451663</stp>
        <tr r="W12" s="2"/>
      </tp>
      <tp t="s">
        <v>#N/A Requesting Data...1825946429</v>
        <stp/>
        <stp>BDP|1465817192805045116</stp>
        <tr r="U56" s="2"/>
      </tp>
      <tp t="s">
        <v>#N/A N/A</v>
        <stp/>
        <stp>BDP|2654312305782239769</stp>
        <tr r="H46" s="2"/>
      </tp>
      <tp t="s">
        <v>#N/A N/A</v>
        <stp/>
        <stp>BDP|5020974184338192843</stp>
        <tr r="G12" s="2"/>
      </tp>
      <tp t="s">
        <v>#N/A Requesting Data...4009731896</v>
        <stp/>
        <stp>BDP|9032376120074453851</stp>
        <tr r="AY24" s="2"/>
      </tp>
      <tp t="s">
        <v>#N/A Requesting Data...3456469609</v>
        <stp/>
        <stp>BDP|7706063615337328513</stp>
        <tr r="AF45" s="2"/>
      </tp>
      <tp t="s">
        <v>#N/A N/A</v>
        <stp/>
        <stp>BDP|7291744810900949589</stp>
        <tr r="Q47" s="2"/>
      </tp>
      <tp t="s">
        <v>#N/A Requesting Data...2023276871</v>
        <stp/>
        <stp>BDP|3287052932147490369</stp>
        <tr r="AB20" s="2"/>
      </tp>
      <tp t="s">
        <v>#N/A Requesting Data...4116361094</v>
        <stp/>
        <stp>BDP|6062293305131899136</stp>
        <tr r="C55" s="2"/>
      </tp>
      <tp t="s">
        <v>#N/A N/A</v>
        <stp/>
        <stp>BDP|3792325743931384127</stp>
        <tr r="Q16" s="2"/>
        <tr r="Q17" s="2"/>
      </tp>
      <tp t="s">
        <v>#N/A N/A</v>
        <stp/>
        <stp>BDP|6253117265527853295</stp>
        <tr r="AU44" s="2"/>
      </tp>
      <tp t="s">
        <v>#N/A N/A</v>
        <stp/>
        <stp>BDP|3978523177740025589</stp>
        <tr r="Q33" s="2"/>
      </tp>
      <tp t="s">
        <v>#N/A Requesting Data...3752927860</v>
        <stp/>
        <stp>BDP|8811185038747840947</stp>
        <tr r="W48" s="2"/>
      </tp>
      <tp t="s">
        <v>#N/A N/A</v>
        <stp/>
        <stp>BDP|4969580486749382419</stp>
        <tr r="H27" s="2"/>
      </tp>
      <tp t="s">
        <v>#N/A N/A</v>
        <stp/>
        <stp>BDP|1629960457588437162</stp>
        <tr r="Q37" s="2"/>
      </tp>
      <tp t="s">
        <v>#N/A Requesting Data...1488653077</v>
        <stp/>
        <stp>BDP|7655177133434923419</stp>
        <tr r="W31" s="2"/>
      </tp>
      <tp t="s">
        <v>#N/A N/A</v>
        <stp/>
        <stp>BDP|6360044800970829358</stp>
        <tr r="G32" s="2"/>
      </tp>
      <tp t="s">
        <v>#N/A N/A</v>
        <stp/>
        <stp>BDP|8648763382813048193</stp>
        <tr r="G29" s="2"/>
      </tp>
      <tp t="s">
        <v>#N/A N/A</v>
        <stp/>
        <stp>BDP|3921653530167605411</stp>
        <tr r="AU55" s="2"/>
      </tp>
      <tp t="s">
        <v>#N/A N/A</v>
        <stp/>
        <stp>BDP|9740908854484921418</stp>
        <tr r="O47" s="2"/>
      </tp>
      <tp t="s">
        <v>#N/A N/A</v>
        <stp/>
        <stp>BDP|9532494608370988868</stp>
        <tr r="O12" s="2"/>
        <tr r="O11" s="2"/>
      </tp>
      <tp t="s">
        <v>#N/A Requesting Data...1753302266</v>
        <stp/>
        <stp>BDP|2904963312617055859</stp>
        <tr r="U53" s="2"/>
      </tp>
      <tp t="s">
        <v>#N/A N/A</v>
        <stp/>
        <stp>BDP|4556729307060810605</stp>
        <tr r="F14" s="2"/>
      </tp>
      <tp t="s">
        <v>#N/A N/A</v>
        <stp/>
        <stp>BDP|7887763051601697114</stp>
        <tr r="O48" s="2"/>
      </tp>
      <tp t="s">
        <v>#N/A N/A</v>
        <stp/>
        <stp>BDP|2838984491007699099</stp>
        <tr r="F51" s="2"/>
      </tp>
      <tp t="s">
        <v>#N/A Requesting Data...1955501116</v>
        <stp/>
        <stp>BDP|4787241088339361270</stp>
        <tr r="AZ26" s="2"/>
      </tp>
      <tp t="s">
        <v>#N/A N/A</v>
        <stp/>
        <stp>BDP|4221796712456736114</stp>
        <tr r="Q19" s="2"/>
      </tp>
      <tp t="s">
        <v>#N/A Requesting Data...2294979294</v>
        <stp/>
        <stp>BDP|8315984655299682845</stp>
        <tr r="AB36" s="2"/>
      </tp>
      <tp t="s">
        <v>#N/A N/A</v>
        <stp/>
        <stp>BDP|9852131661763399855</stp>
        <tr r="AT21" s="2"/>
      </tp>
      <tp t="s">
        <v>#N/A Requesting Data...2931471822</v>
        <stp/>
        <stp>BDP|4610530294709945453</stp>
        <tr r="AY48" s="2"/>
      </tp>
      <tp t="s">
        <v>#N/A Requesting Data...1419027165</v>
        <stp/>
        <stp>BDP|5222702591906053814</stp>
        <tr r="AF9" s="2"/>
      </tp>
      <tp t="s">
        <v>#N/A Requesting Data...1231830502</v>
        <stp/>
        <stp>BDP|4648113373496200142</stp>
        <tr r="AY57" s="2"/>
      </tp>
      <tp t="s">
        <v>#N/A Requesting Data...2546942385</v>
        <stp/>
        <stp>BDP|3104287408927726348</stp>
        <tr r="U34" s="2"/>
      </tp>
      <tp t="s">
        <v>#N/A Requesting Data...609661057</v>
        <stp/>
        <stp>BDP|6527604584064723943</stp>
        <tr r="AF29" s="2"/>
      </tp>
      <tp t="s">
        <v>#N/A N/A</v>
        <stp/>
        <stp>BDP|5382278601042190077</stp>
        <tr r="AU35" s="2"/>
      </tp>
      <tp t="s">
        <v>#N/A N/A</v>
        <stp/>
        <stp>BDP|7684216499728551188</stp>
        <tr r="G40" s="2"/>
      </tp>
      <tp t="s">
        <v>#N/A Requesting Data...3596378174</v>
        <stp/>
        <stp>BDP|6157284450472104699</stp>
        <tr r="C20" s="2"/>
      </tp>
      <tp t="s">
        <v>#N/A N/A</v>
        <stp/>
        <stp>BDP|5750245124334154479</stp>
        <tr r="BB23" s="2"/>
      </tp>
      <tp t="s">
        <v>#N/A Requesting Data...3449716746</v>
        <stp/>
        <stp>BDP|1625048871590685348</stp>
        <tr r="B27" s="2"/>
      </tp>
      <tp t="s">
        <v>#N/A Requesting Data...3743825301</v>
        <stp/>
        <stp>BDP|5271982489133585278</stp>
        <tr r="U32" s="2"/>
      </tp>
      <tp t="s">
        <v>#N/A N/A</v>
        <stp/>
        <stp>BDP|7822086098098170384</stp>
        <tr r="G24" s="2"/>
      </tp>
      <tp t="s">
        <v>#N/A Requesting Data...1699895787</v>
        <stp/>
        <stp>BDP|6869712305000229482</stp>
        <tr r="K43" s="2"/>
      </tp>
      <tp t="s">
        <v>#N/A N/A</v>
        <stp/>
        <stp>BDH|4294439584084367904</stp>
        <tr r="D31" s="2"/>
      </tp>
      <tp t="s">
        <v>#N/A N/A</v>
        <stp/>
        <stp>BDH|6455877194596096412</stp>
        <tr r="M14" s="2"/>
      </tp>
      <tp t="s">
        <v>#N/A N/A</v>
        <stp/>
        <stp>BDP|1554146616746027202</stp>
        <tr r="G57" s="2"/>
      </tp>
      <tp t="s">
        <v>#N/A N/A</v>
        <stp/>
        <stp>BDH|1025309506386524148</stp>
        <tr r="M45" s="2"/>
      </tp>
      <tp t="s">
        <v>#N/A N/A</v>
        <stp/>
        <stp>BDH|5020311777377817396</stp>
        <tr r="D22" s="2"/>
      </tp>
      <tp t="s">
        <v>#N/A N/A</v>
        <stp/>
        <stp>BDH|3601531872150736474</stp>
        <tr r="M29" s="2"/>
      </tp>
      <tp t="s">
        <v>#N/A Requesting Data...620729121</v>
        <stp/>
        <stp>BDP|3345822285922773465</stp>
        <tr r="AZ18" s="2"/>
      </tp>
      <tp t="s">
        <v>#N/A N/A</v>
        <stp/>
        <stp>BDP|7785341507418241934</stp>
        <tr r="P39" s="2"/>
      </tp>
      <tp t="s">
        <v>#N/A N/A</v>
        <stp/>
        <stp>BDP|5751300063113438655</stp>
        <tr r="G8" s="2"/>
      </tp>
      <tp t="s">
        <v>#N/A N/A</v>
        <stp/>
        <stp>BDP|6021676639165328383</stp>
        <tr r="F35" s="2"/>
      </tp>
      <tp t="s">
        <v>#N/A N/A</v>
        <stp/>
        <stp>BDP|9951398094526986087</stp>
        <tr r="P54" s="2"/>
      </tp>
      <tp t="s">
        <v>#N/A N/A</v>
        <stp/>
        <stp>BDP|1101656682218071234</stp>
        <tr r="H32" s="2"/>
      </tp>
      <tp t="s">
        <v>#N/A N/A</v>
        <stp/>
        <stp>BDP|2620206561871518184</stp>
        <tr r="H34" s="2"/>
      </tp>
      <tp t="s">
        <v>#N/A Requesting Data...3887807297</v>
        <stp/>
        <stp>BDP|1650718870332471592</stp>
        <tr r="AZ51" s="2"/>
      </tp>
      <tp t="s">
        <v>#N/A N/A</v>
        <stp/>
        <stp>BDP|3692339320897951369</stp>
        <tr r="AT14" s="2"/>
      </tp>
      <tp t="s">
        <v>#N/A Requesting Data...3754158990</v>
        <stp/>
        <stp>BDP|9055120238768431557</stp>
        <tr r="K18" s="2"/>
      </tp>
      <tp t="s">
        <v>#N/A N/A</v>
        <stp/>
        <stp>BDP|1700140068270566064</stp>
        <tr r="O42" s="2"/>
      </tp>
      <tp t="s">
        <v>#N/A Requesting Data...3737106101</v>
        <stp/>
        <stp>BDP|8397739927738624395</stp>
        <tr r="AF22" s="2"/>
      </tp>
      <tp t="s">
        <v>#N/A Requesting Data...1930500703</v>
        <stp/>
        <stp>BDP|7540180865377987182</stp>
        <tr r="K44" s="2"/>
      </tp>
      <tp t="s">
        <v>#N/A N/A</v>
        <stp/>
        <stp>BDP|2146743442930743798</stp>
        <tr r="AT43" s="2"/>
      </tp>
      <tp t="s">
        <v>#N/A N/A</v>
        <stp/>
        <stp>BDP|9499953018380385745</stp>
        <tr r="F37" s="2"/>
      </tp>
      <tp t="s">
        <v>#N/A N/A</v>
        <stp/>
        <stp>BDP|5910563376433173277</stp>
        <tr r="G19" s="2"/>
      </tp>
      <tp t="s">
        <v>#N/A Requesting Data...2444369819</v>
        <stp/>
        <stp>BDP|3856118329624962257</stp>
        <tr r="AF44" s="2"/>
      </tp>
      <tp t="s">
        <v>#N/A Requesting Data...3409673854</v>
        <stp/>
        <stp>BDP|7859446488565872805</stp>
        <tr r="AF48" s="2"/>
      </tp>
      <tp t="s">
        <v>#N/A N/A</v>
        <stp/>
        <stp>BDP|3761945282364535091</stp>
        <tr r="H12" s="2"/>
      </tp>
      <tp t="s">
        <v>#N/A Requesting Data...2718328335</v>
        <stp/>
        <stp>BDP|3127353864736920646</stp>
        <tr r="K47" s="2"/>
      </tp>
      <tp t="s">
        <v>#N/A N/A</v>
        <stp/>
        <stp>BDP|5512796062385867749</stp>
        <tr r="O32" s="2"/>
      </tp>
      <tp t="s">
        <v>#N/A Requesting Data...1442457428</v>
        <stp/>
        <stp>BDP|9034261850458493003</stp>
        <tr r="W56" s="2"/>
      </tp>
      <tp t="s">
        <v>#N/A N/A</v>
        <stp/>
        <stp>BDP|2792114667332452175</stp>
        <tr r="AT28" s="2"/>
      </tp>
      <tp t="s">
        <v>#N/A N/A</v>
        <stp/>
        <stp>BDP|8557531972285438924</stp>
        <tr r="AT41" s="2"/>
      </tp>
      <tp t="s">
        <v>#N/A N/A</v>
        <stp/>
        <stp>BDP|2358372564529646843</stp>
        <tr r="P60" s="2"/>
      </tp>
      <tp t="s">
        <v>#N/A Requesting Data...4091186961</v>
        <stp/>
        <stp>BDP|9156430745218722739</stp>
        <tr r="C36" s="2"/>
      </tp>
      <tp t="s">
        <v>#N/A N/A</v>
        <stp/>
        <stp>BDP|7126509778370875320</stp>
        <tr r="AU41" s="2"/>
      </tp>
      <tp t="s">
        <v>#N/A N/A</v>
        <stp/>
        <stp>BDP|9315078881935146272</stp>
        <tr r="O40" s="2"/>
      </tp>
      <tp t="s">
        <v>#N/A Requesting Data...3977393894</v>
        <stp/>
        <stp>BDP|1960923314378645798</stp>
        <tr r="C16" s="2"/>
      </tp>
      <tp t="s">
        <v>#N/A N/A</v>
        <stp/>
        <stp>BDP|2329094569361251315</stp>
        <tr r="AT10" s="2"/>
      </tp>
      <tp t="s">
        <v>#N/A Requesting Data...3417606895</v>
        <stp/>
        <stp>BDP|1276527836798297949</stp>
        <tr r="AB9" s="2"/>
      </tp>
      <tp t="s">
        <v>#N/A N/A</v>
        <stp/>
        <stp>BDP|7234018900480189134</stp>
        <tr r="P51" s="2"/>
      </tp>
      <tp t="s">
        <v>#N/A N/A</v>
        <stp/>
        <stp>BDP|9212324100289513543</stp>
        <tr r="AT17" s="2"/>
      </tp>
      <tp t="s">
        <v>#N/A Requesting Data...4143062981</v>
        <stp/>
        <stp>BDP|2486261471688289900</stp>
        <tr r="AZ53" s="2"/>
      </tp>
      <tp t="s">
        <v>#N/A Requesting Data...2912396185</v>
        <stp/>
        <stp>BDP|6181640735537452225</stp>
        <tr r="AZ54" s="2"/>
      </tp>
      <tp t="s">
        <v>#N/A N/A</v>
        <stp/>
        <stp>BDP|4974602417306109387</stp>
        <tr r="Q55" s="2"/>
      </tp>
      <tp t="s">
        <v>#N/A Requesting Data...3355007213</v>
        <stp/>
        <stp>BDP|4166514784539455672</stp>
        <tr r="K39" s="2"/>
      </tp>
      <tp t="s">
        <v>#N/A N/A</v>
        <stp/>
        <stp>BDP|7987944738902137902</stp>
        <tr r="AT54" s="2"/>
      </tp>
      <tp t="s">
        <v>#N/A N/A</v>
        <stp/>
        <stp>BDP|2597023309383338784</stp>
        <tr r="H56" s="2"/>
      </tp>
      <tp t="s">
        <v>#N/A N/A</v>
        <stp/>
        <stp>BDP|1668473674683344735</stp>
        <tr r="Q45" s="2"/>
      </tp>
      <tp t="s">
        <v>#N/A N/A</v>
        <stp/>
        <stp>BDP|7847343365944549179</stp>
        <tr r="Q35" s="2"/>
      </tp>
      <tp t="s">
        <v>#N/A Requesting Data...2943039321</v>
        <stp/>
        <stp>BDP|5715091521046121668</stp>
        <tr r="AZ12" s="2"/>
      </tp>
      <tp t="s">
        <v>#N/A N/A</v>
        <stp/>
        <stp>BDP|5708197030133361341</stp>
        <tr r="BB19" s="2"/>
      </tp>
      <tp t="s">
        <v>#N/A N/A</v>
        <stp/>
        <stp>BDP|8819949907851414762</stp>
        <tr r="G13" s="2"/>
      </tp>
      <tp t="s">
        <v>#N/A N/A</v>
        <stp/>
        <stp>BDP|4795110495983912833</stp>
        <tr r="BB9" s="2"/>
      </tp>
      <tp t="s">
        <v>#N/A Requesting Data...3443116725</v>
        <stp/>
        <stp>BDP|7789293521468593831</stp>
        <tr r="B10" s="2"/>
      </tp>
      <tp t="s">
        <v>#N/A N/A</v>
        <stp/>
        <stp>BDP|7932503461974659705</stp>
        <tr r="AT59" s="2"/>
      </tp>
      <tp t="s">
        <v>#N/A N/A</v>
        <stp/>
        <stp>BDP|7743821639892535974</stp>
        <tr r="O45" s="2"/>
      </tp>
      <tp t="s">
        <v>#N/A Requesting Data...847325201</v>
        <stp/>
        <stp>BDP|4951054854971069760</stp>
        <tr r="L57" s="2"/>
      </tp>
      <tp t="s">
        <v>#N/A Requesting Data...2986413100</v>
        <stp/>
        <stp>BDP|2948718912447695437</stp>
        <tr r="BN3" s="2"/>
      </tp>
      <tp t="s">
        <v>#N/A Requesting Data...2017722623</v>
        <stp/>
        <stp>BDP|5832220712935020456</stp>
        <tr r="L19" s="2"/>
      </tp>
      <tp t="s">
        <v>#N/A N/A</v>
        <stp/>
        <stp>BDP|7750749867495729414</stp>
        <tr r="F33" s="2"/>
      </tp>
      <tp t="s">
        <v>#N/A N/A</v>
        <stp/>
        <stp>BDP|5117773465276618571</stp>
        <tr r="AT56" s="2"/>
      </tp>
      <tp t="s">
        <v>#N/A N/A</v>
        <stp/>
        <stp>BDH|5371708885398616524</stp>
        <tr r="M20" s="2"/>
      </tp>
      <tp t="s">
        <v>#N/A N/A</v>
        <stp/>
        <stp>BDH|8100294107368869547</stp>
        <tr r="M30" s="2"/>
        <tr r="M28" s="2"/>
      </tp>
      <tp t="s">
        <v>#N/A Requesting Data...2487176416</v>
        <stp/>
        <stp>BDP|3357421450604016114</stp>
        <tr r="C46" s="2"/>
      </tp>
      <tp t="s">
        <v>#N/A N/A</v>
        <stp/>
        <stp>BDP|2722942163592330831</stp>
        <tr r="AT52" s="2"/>
      </tp>
      <tp t="s">
        <v>#N/A N/A</v>
        <stp/>
        <stp>BDP|2429197127972251491</stp>
        <tr r="AT26" s="2"/>
      </tp>
      <tp t="s">
        <v>#N/A Requesting Data...821037363</v>
        <stp/>
        <stp>BDP|6071843913691488946</stp>
        <tr r="C18" s="2"/>
      </tp>
      <tp t="s">
        <v>#N/A N/A</v>
        <stp/>
        <stp>BDP|1461813694260609706</stp>
        <tr r="P45" s="2"/>
      </tp>
      <tp t="s">
        <v>#N/A Requesting Data...1530486659</v>
        <stp/>
        <stp>BDP|6410353050712463525</stp>
        <tr r="C13" s="2"/>
      </tp>
      <tp t="s">
        <v>#N/A N/A</v>
        <stp/>
        <stp>BDP|1360380440907788688</stp>
        <tr r="F25" s="2"/>
      </tp>
      <tp t="s">
        <v>#N/A Requesting Data...2066368546</v>
        <stp/>
        <stp>BDP|3679500472442831486</stp>
        <tr r="AY60" s="2"/>
      </tp>
      <tp t="s">
        <v>#N/A Requesting Data...3146959145</v>
        <stp/>
        <stp>BDP|7635706931774073029</stp>
        <tr r="AB35" s="2"/>
      </tp>
      <tp t="s">
        <v>#N/A N/A</v>
        <stp/>
        <stp>BDP|7694181274474733577</stp>
        <tr r="O20" s="2"/>
      </tp>
      <tp t="s">
        <v>#N/A Requesting Data...2600109685</v>
        <stp/>
        <stp>BDP|8786997354642515653</stp>
        <tr r="U24" s="2"/>
      </tp>
      <tp t="s">
        <v>#N/A Requesting Data...3272607696</v>
        <stp/>
        <stp>BDP|5071587110763754258</stp>
        <tr r="AF11" s="2"/>
      </tp>
      <tp t="s">
        <v>#N/A Requesting Data...966556852</v>
        <stp/>
        <stp>BDP|7943854188136894167</stp>
        <tr r="AB58" s="2"/>
      </tp>
      <tp t="s">
        <v>#N/A Requesting Data...3143923284</v>
        <stp/>
        <stp>BDP|7617619516952271296</stp>
        <tr r="U41" s="2"/>
      </tp>
      <tp t="s">
        <v>#N/A Requesting Data...1129703002</v>
        <stp/>
        <stp>BDP|2370715912103109798</stp>
        <tr r="AY25" s="2"/>
      </tp>
      <tp t="s">
        <v>#N/A N/A</v>
        <stp/>
        <stp>BDP|6398264458181755024</stp>
        <tr r="O57" s="2"/>
      </tp>
      <tp t="s">
        <v>#N/A Requesting Data...1604873538</v>
        <stp/>
        <stp>BDP|3063322685201808975</stp>
        <tr r="U51" s="2"/>
      </tp>
      <tp t="s">
        <v>#N/A N/A</v>
        <stp/>
        <stp>BDH|7212425528115430449</stp>
        <tr r="D23" s="2"/>
      </tp>
      <tp t="s">
        <v>#N/A N/A</v>
        <stp/>
        <stp>BDP|7856873517168240637</stp>
        <tr r="H24" s="2"/>
      </tp>
      <tp t="s">
        <v>#N/A N/A</v>
        <stp/>
        <stp>BDP|7306549320426845617</stp>
        <tr r="F32" s="2"/>
      </tp>
      <tp t="s">
        <v>#N/A Requesting Data...3015767924</v>
        <stp/>
        <stp>BDP|4601736635243866366</stp>
        <tr r="AZ13" s="2"/>
      </tp>
      <tp t="s">
        <v>#N/A Requesting Data...4093362971</v>
        <stp/>
        <stp>BDP|5889301341966528439</stp>
        <tr r="B42" s="2"/>
      </tp>
      <tp t="s">
        <v>#N/A Requesting Data...1553639374</v>
        <stp/>
        <stp>BDP|3747809954996882843</stp>
        <tr r="C21" s="2"/>
      </tp>
      <tp t="s">
        <v>#N/A Requesting Data...4165328753</v>
        <stp/>
        <stp>BDP|4931681552455473280</stp>
        <tr r="W14" s="2"/>
      </tp>
      <tp t="s">
        <v>#N/A Requesting Data...726802726</v>
        <stp/>
        <stp>BDP|1807158514884397561</stp>
        <tr r="K53" s="2"/>
      </tp>
      <tp t="s">
        <v>#N/A Requesting Data...3908452255</v>
        <stp/>
        <stp>BDP|4129969628567558860</stp>
        <tr r="C33" s="2"/>
      </tp>
      <tp t="s">
        <v>#N/A Requesting Data...3774879992</v>
        <stp/>
        <stp>BDP|5390755619286562567</stp>
        <tr r="AF31" s="2"/>
      </tp>
      <tp t="s">
        <v>#N/A N/A</v>
        <stp/>
        <stp>BDP|1999514719551471486</stp>
        <tr r="BB37" s="2"/>
      </tp>
      <tp t="s">
        <v>#N/A Requesting Data...1635094459</v>
        <stp/>
        <stp>BDP|9322985400732699201</stp>
        <tr r="AB14" s="2"/>
      </tp>
      <tp t="s">
        <v>#N/A Requesting Data...2464683403</v>
        <stp/>
        <stp>BDP|9929158137398841319</stp>
        <tr r="AF12" s="2"/>
      </tp>
      <tp t="s">
        <v>#N/A Requesting Data...2016412308</v>
        <stp/>
        <stp>BDP|7535516670542463721</stp>
        <tr r="AF57" s="2"/>
      </tp>
      <tp t="s">
        <v>#N/A Requesting Data...1337387705</v>
        <stp/>
        <stp>BDP|4379301876577787713</stp>
        <tr r="B47" s="2"/>
      </tp>
      <tp t="s">
        <v>#N/A Requesting Data...1453263945</v>
        <stp/>
        <stp>BDP|7853826095965836342</stp>
        <tr r="AZ25" s="2"/>
      </tp>
      <tp t="s">
        <v>#N/A Requesting Data...2158533097</v>
        <stp/>
        <stp>BDP|9326116990246736768</stp>
        <tr r="U13" s="2"/>
      </tp>
      <tp t="s">
        <v>#N/A Requesting Data...1604959589</v>
        <stp/>
        <stp>BDP|1678179791501363833</stp>
        <tr r="B59" s="2"/>
      </tp>
      <tp t="s">
        <v>#N/A N/A</v>
        <stp/>
        <stp>BDH|4741347361768168934</stp>
        <tr r="M48" s="2"/>
      </tp>
      <tp t="s">
        <v>#N/A N/A</v>
        <stp/>
        <stp>BDP|2456035563622051651</stp>
        <tr r="BB50" s="2"/>
      </tp>
      <tp t="s">
        <v>#N/A Requesting Data...1010189931</v>
        <stp/>
        <stp>BDP|8813743841019856242</stp>
        <tr r="AY21" s="2"/>
      </tp>
      <tp t="s">
        <v>#N/A N/A</v>
        <stp/>
        <stp>BDH|9092445976839252313</stp>
        <tr r="M43" s="2"/>
      </tp>
      <tp t="s">
        <v>#N/A Requesting Data...1205527528</v>
        <stp/>
        <stp>BDP|2879417463462869243</stp>
        <tr r="AF39" s="2"/>
      </tp>
      <tp t="s">
        <v>#N/A Requesting Data...4278128315</v>
        <stp/>
        <stp>BDP|9775542584056909284</stp>
        <tr r="U42" s="2"/>
      </tp>
      <tp t="s">
        <v>#N/A Requesting Data...3536337254</v>
        <stp/>
        <stp>BDP|4536090892299102488</stp>
        <tr r="U50" s="2"/>
      </tp>
      <tp t="s">
        <v>#N/A Requesting Data...2161399605</v>
        <stp/>
        <stp>BDP|8534928854202663616</stp>
        <tr r="AB43" s="2"/>
      </tp>
      <tp t="s">
        <v>#N/A N/A</v>
        <stp/>
        <stp>BDP|7417918687855380352</stp>
        <tr r="P8" s="2"/>
      </tp>
      <tp t="s">
        <v>#N/A N/A</v>
        <stp/>
        <stp>BDP|5263300453814802630</stp>
        <tr r="BB18" s="2"/>
      </tp>
      <tp t="s">
        <v>#N/A N/A</v>
        <stp/>
        <stp>BDP|5399007121445948310</stp>
        <tr r="BB22" s="2"/>
      </tp>
      <tp t="s">
        <v>#N/A N/A</v>
        <stp/>
        <stp>BDP|4723545735664887748</stp>
        <tr r="BB40" s="2"/>
      </tp>
      <tp t="s">
        <v>#N/A Requesting Data...1613682588</v>
        <stp/>
        <stp>BDP|1575882776608858795</stp>
        <tr r="U10" s="2"/>
      </tp>
      <tp t="s">
        <v>#N/A N/A</v>
        <stp/>
        <stp>BDP|4563941949640139834</stp>
        <tr r="AU53" s="2"/>
      </tp>
      <tp t="s">
        <v>#N/A N/A</v>
        <stp/>
        <stp>BDP|7819467307240604252</stp>
        <tr r="AU16" s="2"/>
      </tp>
      <tp t="s">
        <v>#N/A N/A</v>
        <stp/>
        <stp>BDP|3802778037834109227</stp>
        <tr r="AU30" s="2"/>
      </tp>
      <tp t="s">
        <v>#N/A N/A</v>
        <stp/>
        <stp>BDP|5963860827779108712</stp>
        <tr r="Q44" s="2"/>
      </tp>
      <tp t="s">
        <v>#N/A Requesting Data...3808196124</v>
        <stp/>
        <stp>BDP|9106930472101857703</stp>
        <tr r="AY19" s="2"/>
      </tp>
      <tp t="s">
        <v>#N/A N/A</v>
        <stp/>
        <stp>BDH|8399417568938038327</stp>
        <tr r="M41" s="2"/>
      </tp>
      <tp t="s">
        <v>#N/A Requesting Data...3767810270</v>
        <stp/>
        <stp>BDP|9721491798863818602</stp>
        <tr r="AB13" s="2"/>
      </tp>
      <tp t="s">
        <v>#N/A N/A</v>
        <stp/>
        <stp>BDP|5327409075696156198</stp>
        <tr r="AT38" s="2"/>
      </tp>
      <tp t="s">
        <v>#N/A N/A</v>
        <stp/>
        <stp>BDH|7255701019562630237</stp>
        <tr r="D24" s="2"/>
      </tp>
      <tp t="s">
        <v>#N/A Requesting Data...4217501075</v>
        <stp/>
        <stp>BDP|9917033391916785738</stp>
        <tr r="L41" s="2"/>
      </tp>
      <tp t="s">
        <v>#N/A N/A</v>
        <stp/>
        <stp>BDP|5622048981488921457</stp>
        <tr r="AU57" s="2"/>
      </tp>
      <tp t="s">
        <v>#N/A Requesting Data...4234873087</v>
        <stp/>
        <stp>BDP|3418186726255400419</stp>
        <tr r="W51" s="2"/>
      </tp>
      <tp t="s">
        <v>#N/A N/A</v>
        <stp/>
        <stp>BDH|4805555020185643744</stp>
        <tr r="D37" s="2"/>
      </tp>
      <tp t="s">
        <v>#N/A Requesting Data...2804755479</v>
        <stp/>
        <stp>BDP|1699848598713040268</stp>
        <tr r="AY45" s="2"/>
      </tp>
      <tp t="s">
        <v>#N/A N/A</v>
        <stp/>
        <stp>BDH|2582292201566704771</stp>
        <tr r="D54" s="2"/>
      </tp>
      <tp t="s">
        <v>#N/A N/A</v>
        <stp/>
        <stp>BDP|3236418373727453663</stp>
        <tr r="P46" s="2"/>
      </tp>
      <tp t="s">
        <v>#N/A Requesting Data...2232668846</v>
        <stp/>
        <stp>BDP|4376728147540263660</stp>
        <tr r="AB51" s="2"/>
      </tp>
      <tp t="s">
        <v>#N/A Requesting Data...1325275764</v>
        <stp/>
        <stp>BDP|2850231753057332399</stp>
        <tr r="AF41" s="2"/>
      </tp>
      <tp t="s">
        <v>#N/A N/A</v>
        <stp/>
        <stp>BDP|9253523436309527712</stp>
        <tr r="P21" s="2"/>
        <tr r="P22" s="2"/>
      </tp>
      <tp t="s">
        <v>#N/A Requesting Data...827722477</v>
        <stp/>
        <stp>BDP|8943529819774810995</stp>
        <tr r="AZ16" s="2"/>
      </tp>
      <tp t="s">
        <v>#N/A Requesting Data...3281796298</v>
        <stp/>
        <stp>BDP|6769422247061949680</stp>
        <tr r="AZ17" s="2"/>
      </tp>
      <tp t="s">
        <v>#N/A N/A</v>
        <stp/>
        <stp>BDP|8276399569134672846</stp>
        <tr r="AU38" s="2"/>
      </tp>
      <tp t="s">
        <v>#N/A N/A</v>
        <stp/>
        <stp>BDP|3279215420811622339</stp>
        <tr r="Q41" s="2"/>
      </tp>
      <tp t="s">
        <v>#N/A N/A</v>
        <stp/>
        <stp>BDP|1458888938208541360</stp>
        <tr r="BB48" s="2"/>
      </tp>
      <tp t="s">
        <v>#N/A Requesting Data...3947160237</v>
        <stp/>
        <stp>BDP|7401724793191614946</stp>
        <tr r="W16" s="2"/>
      </tp>
      <tp t="s">
        <v>#N/A Requesting Data...2059945419</v>
        <stp/>
        <stp>BDP|4751853706775886886</stp>
        <tr r="L13" s="2"/>
      </tp>
      <tp t="s">
        <v>#N/A Requesting Data...2402093993</v>
        <stp/>
        <stp>BDP|7083541759616197088</stp>
        <tr r="U16" s="2"/>
      </tp>
      <tp t="s">
        <v>#N/A Requesting Data...3303902476</v>
        <stp/>
        <stp>BDP|5309656716610038343</stp>
        <tr r="L48" s="2"/>
      </tp>
      <tp t="s">
        <v>#N/A N/A</v>
        <stp/>
        <stp>BDP|1568087644732952659</stp>
        <tr r="BB46" s="2"/>
      </tp>
      <tp t="s">
        <v>#N/A Requesting Data...4127688115</v>
        <stp/>
        <stp>BDP|1501717507711493629</stp>
        <tr r="K55" s="2"/>
      </tp>
      <tp t="s">
        <v>#N/A N/A</v>
        <stp/>
        <stp>BDP|7610562346015715242</stp>
        <tr r="P37" s="2"/>
      </tp>
      <tp t="s">
        <v>#N/A Requesting Data...1055181322</v>
        <stp/>
        <stp>BDP|4273000331177738116</stp>
        <tr r="C52" s="2"/>
      </tp>
      <tp t="s">
        <v>#N/A N/A</v>
        <stp/>
        <stp>BDP|7311358565386691505</stp>
        <tr r="AU60" s="2"/>
      </tp>
      <tp t="s">
        <v>#N/A N/A</v>
        <stp/>
        <stp>BDH|8114883379174210272</stp>
        <tr r="M51" s="2"/>
      </tp>
      <tp t="s">
        <v>#N/A Requesting Data...4079744964</v>
        <stp/>
        <stp>BDP|4414866487270657692</stp>
        <tr r="C34" s="2"/>
      </tp>
      <tp t="s">
        <v>#N/A Requesting Data...1050838201</v>
        <stp/>
        <stp>BDP|3289414933977314186</stp>
        <tr r="W9" s="2"/>
      </tp>
      <tp t="s">
        <v>#N/A N/A</v>
        <stp/>
        <stp>BDP|6971317566762129340</stp>
        <tr r="AU36" s="2"/>
      </tp>
      <tp t="s">
        <v>#N/A N/A</v>
        <stp/>
        <stp>BDP|1286109426622587290</stp>
        <tr r="AT16" s="2"/>
      </tp>
      <tp t="s">
        <v>#N/A Requesting Data...3160460805</v>
        <stp/>
        <stp>BDP|7681663309401418251</stp>
        <tr r="AY55" s="2"/>
      </tp>
      <tp t="s">
        <v>#N/A Requesting Data...3057135112</v>
        <stp/>
        <stp>BDP|7094508608541389123</stp>
        <tr r="K48" s="2"/>
      </tp>
      <tp t="s">
        <v>#N/A N/A</v>
        <stp/>
        <stp>BDP|7985771508504752687</stp>
        <tr r="G14" s="2"/>
      </tp>
      <tp t="s">
        <v>#N/A N/A</v>
        <stp/>
        <stp>BDP|1607777522463809522</stp>
        <tr r="Q54" s="2"/>
      </tp>
      <tp t="s">
        <v>#N/A N/A</v>
        <stp/>
        <stp>BDP|3834410333344187228</stp>
        <tr r="O29" s="2"/>
      </tp>
      <tp t="s">
        <v>#N/A Requesting Data...3849761825</v>
        <stp/>
        <stp>BDP|6601050454263820264</stp>
        <tr r="W15" s="2"/>
      </tp>
      <tp t="s">
        <v>#N/A Requesting Data...2249551354</v>
        <stp/>
        <stp>BDP|7075614238616675613</stp>
        <tr r="W43" s="2"/>
      </tp>
      <tp t="s">
        <v>#N/A Requesting Data...2102354289</v>
        <stp/>
        <stp>BDP|1297388506492456278</stp>
        <tr r="AY8" s="2"/>
      </tp>
      <tp t="s">
        <v>#N/A Requesting Data...998294731</v>
        <stp/>
        <stp>BDP|1177793242716217648</stp>
        <tr r="AZ20" s="2"/>
      </tp>
      <tp t="s">
        <v>#N/A N/A</v>
        <stp/>
        <stp>BDP|3539516614647847254</stp>
        <tr r="AT49" s="2"/>
      </tp>
      <tp t="s">
        <v>#N/A N/A</v>
        <stp/>
        <stp>BDH|4654098608937234182</stp>
        <tr r="D25" s="2"/>
      </tp>
      <tp t="s">
        <v>#N/A N/A</v>
        <stp/>
        <stp>BDP|8896349585619922827</stp>
        <tr r="G36" s="2"/>
      </tp>
      <tp t="s">
        <v>#N/A N/A</v>
        <stp/>
        <stp>BDP|5219698414221806145</stp>
        <tr r="AU42" s="2"/>
      </tp>
      <tp t="s">
        <v>#N/A Requesting Data...2802191521</v>
        <stp/>
        <stp>BDP|3499017140304257178</stp>
        <tr r="BN4" s="2"/>
      </tp>
      <tp t="s">
        <v>#N/A Requesting Data...2974714097</v>
        <stp/>
        <stp>BDP|9599052383493099033</stp>
        <tr r="W41" s="2"/>
      </tp>
      <tp t="s">
        <v>#N/A Requesting Data...4192317671</v>
        <stp/>
        <stp>BDP|9381241885028320903</stp>
        <tr r="U8" s="2"/>
      </tp>
      <tp t="s">
        <v>#N/A N/A</v>
        <stp/>
        <stp>BDH|1747986660085690985</stp>
        <tr r="M22" s="2"/>
        <tr r="M21" s="2"/>
      </tp>
      <tp t="s">
        <v>#N/A Requesting Data...2346988293</v>
        <stp/>
        <stp>BDP|2719270137367939683</stp>
        <tr r="L25" s="2"/>
      </tp>
      <tp t="s">
        <v>#N/A Requesting Data...2155040187</v>
        <stp/>
        <stp>BDP|5158637704488419940</stp>
        <tr r="B50" s="2"/>
      </tp>
      <tp t="s">
        <v>#N/A N/A</v>
        <stp/>
        <stp>BDP|2058312922737088642</stp>
        <tr r="G33" s="2"/>
      </tp>
      <tp t="s">
        <v>#N/A Requesting Data...3599921926</v>
        <stp/>
        <stp>BDP|6277213507243425575</stp>
        <tr r="AB48" s="2"/>
      </tp>
      <tp t="s">
        <v>#N/A Requesting Data...3359544028</v>
        <stp/>
        <stp>BDP|9389037514803561966</stp>
        <tr r="AF8" s="2"/>
      </tp>
      <tp t="s">
        <v>#N/A Requesting Data...3126407209</v>
        <stp/>
        <stp>BDP|9942610691455885153</stp>
        <tr r="AY42" s="2"/>
      </tp>
      <tp t="s">
        <v>#N/A Requesting Data...3667715098</v>
        <stp/>
        <stp>BDP|9195817305452157102</stp>
        <tr r="BM2" s="2"/>
      </tp>
      <tp t="s">
        <v>#N/A Requesting Data...1357261503</v>
        <stp/>
        <stp>BDP|7585134499544930926</stp>
        <tr r="AZ31" s="2"/>
      </tp>
      <tp t="s">
        <v>#N/A N/A</v>
        <stp/>
        <stp>BDP|8139258115390570903</stp>
        <tr r="O41" s="2"/>
      </tp>
      <tp t="s">
        <v>#N/A Requesting Data...3619568358</v>
        <stp/>
        <stp>BDP|1796497964206994772</stp>
        <tr r="W18" s="2"/>
      </tp>
      <tp t="s">
        <v>#N/A N/A</v>
        <stp/>
        <stp>BDP|6849634925222272283</stp>
        <tr r="G60" s="2"/>
      </tp>
      <tp t="s">
        <v>#N/A Requesting Data...2589699002</v>
        <stp/>
        <stp>BDP|7264868655191675929</stp>
        <tr r="K28" s="2"/>
        <tr r="K30" s="2"/>
      </tp>
      <tp t="s">
        <v>#N/A Requesting Data...1729517238</v>
        <stp/>
        <stp>BDP|5008125039690491455</stp>
        <tr r="L10" s="2"/>
      </tp>
      <tp t="s">
        <v>#N/A N/A</v>
        <stp/>
        <stp>BDP|8421812917052807017</stp>
        <tr r="AU14" s="2"/>
      </tp>
      <tp t="s">
        <v>#N/A Requesting Data...2691963174</v>
        <stp/>
        <stp>BDP|9775245436253517888</stp>
        <tr r="BO5" s="2"/>
      </tp>
      <tp t="s">
        <v>#N/A N/A</v>
        <stp/>
        <stp>BDH|5207397416723746725</stp>
        <tr r="D27" s="2"/>
      </tp>
      <tp t="s">
        <v>#N/A N/A</v>
        <stp/>
        <stp>BDP|5791352467182355184</stp>
        <tr r="O39" s="2"/>
      </tp>
      <tp t="s">
        <v>#N/A N/A</v>
        <stp/>
        <stp>BDP|6986641362362037716</stp>
        <tr r="AU27" s="2"/>
      </tp>
      <tp t="s">
        <v>#N/A N/A</v>
        <stp/>
        <stp>BDH|1212513152732975061</stp>
        <tr r="M52" s="2"/>
      </tp>
      <tp t="s">
        <v>#N/A N/A</v>
        <stp/>
        <stp>BDH|2991041881501079829</stp>
        <tr r="D18" s="2"/>
      </tp>
      <tp t="s">
        <v>#N/A Requesting Data...2075714443</v>
        <stp/>
        <stp>BDP|2669524050905976423</stp>
        <tr r="U58" s="2"/>
      </tp>
      <tp t="s">
        <v>#N/A N/A</v>
        <stp/>
        <stp>BDH|9845246782815373520</stp>
        <tr r="M8" s="2"/>
      </tp>
      <tp t="s">
        <v>#N/A N/A</v>
        <stp/>
        <stp>BDH|1261755342238971901</stp>
        <tr r="D36" s="2"/>
      </tp>
      <tp t="s">
        <v>#N/A N/A</v>
        <stp/>
        <stp>BDH|3444796365822455309</stp>
        <tr r="D43" s="2"/>
      </tp>
      <tp t="s">
        <v>#N/A N/A</v>
        <stp/>
        <stp>BDP|3502076578797621018</stp>
        <tr r="O33" s="2"/>
      </tp>
      <tp t="s">
        <v>#N/A N/A</v>
        <stp/>
        <stp>BDP|9639597486425752239</stp>
        <tr r="AT34" s="2"/>
      </tp>
      <tp t="s">
        <v>#N/A N/A</v>
        <stp/>
        <stp>BDP|6516180330977133015</stp>
        <tr r="H14" s="2"/>
      </tp>
      <tp t="s">
        <v>#N/A Requesting Data...1726182254</v>
        <stp/>
        <stp>BDP|6731219802887691005</stp>
        <tr r="K40" s="2"/>
      </tp>
      <tp t="s">
        <v>#N/A Requesting Data...3377236333</v>
        <stp/>
        <stp>BDP|9578885545935816334</stp>
        <tr r="AB39" s="2"/>
      </tp>
      <tp t="s">
        <v>#N/A Requesting Data...3075369520</v>
        <stp/>
        <stp>BDP|7324101940032366300</stp>
        <tr r="B9" s="2"/>
      </tp>
      <tp t="s">
        <v>#N/A Requesting Data...2094579047</v>
        <stp/>
        <stp>BDP|4079758312134255543</stp>
        <tr r="C56" s="2"/>
      </tp>
      <tp t="s">
        <v>#N/A N/A</v>
        <stp/>
        <stp>BDP|2096492014361414583</stp>
        <tr r="Q51" s="2"/>
      </tp>
      <tp t="s">
        <v>#N/A Requesting Data...3024911620</v>
        <stp/>
        <stp>BDP|8516804418591591398</stp>
        <tr r="K59" s="2"/>
      </tp>
      <tp t="s">
        <v>#N/A Requesting Data...3614876248</v>
        <stp/>
        <stp>BDP|2246172251942797725</stp>
        <tr r="AF42" s="2"/>
      </tp>
      <tp t="s">
        <v>#N/A N/A</v>
        <stp/>
        <stp>BDP|5620187919500779667</stp>
        <tr r="P38" s="2"/>
      </tp>
      <tp t="s">
        <v>#N/A N/A</v>
        <stp/>
        <stp>BDH|6925301648463593129</stp>
        <tr r="D35" s="2"/>
      </tp>
      <tp t="s">
        <v>#N/A N/A</v>
        <stp/>
        <stp>BDP|7750161734727622140</stp>
        <tr r="AT44" s="2"/>
      </tp>
      <tp t="s">
        <v>#N/A N/A</v>
        <stp/>
        <stp>BDH|5985867228419246522</stp>
        <tr r="D53" s="2"/>
      </tp>
      <tp t="s">
        <v>#N/A Requesting Data...2874479523</v>
        <stp/>
        <stp>BDP|6086061513224970084</stp>
        <tr r="BM5" s="2"/>
      </tp>
      <tp t="s">
        <v>#N/A Requesting Data...2246813505</v>
        <stp/>
        <stp>BDP|5321677323095671757</stp>
        <tr r="K51" s="2"/>
      </tp>
      <tp t="s">
        <v>#N/A N/A</v>
        <stp/>
        <stp>BDP|3396584072016570490</stp>
        <tr r="AU50" s="2"/>
      </tp>
      <tp t="s">
        <v>#N/A Requesting Data...4135066186</v>
        <stp/>
        <stp>BDP|76162001091263913</stp>
        <tr r="K14" s="2"/>
      </tp>
      <tp t="s">
        <v>#N/A Requesting Data...1725509555</v>
        <stp/>
        <stp>BDP|10939542362485309</stp>
        <tr r="B55" s="2"/>
      </tp>
      <tp t="s">
        <v>#N/A Requesting Data...1090771467</v>
        <stp/>
        <stp>BDP|22610104230211255</stp>
        <tr r="AY31" s="2"/>
      </tp>
      <tp t="s">
        <v>#N/A N/A</v>
        <stp/>
        <stp>BDP|59457212601230054</stp>
        <tr r="AT40" s="2"/>
      </tp>
      <tp t="s">
        <v>#N/A Requesting Data...2190745252</v>
        <stp/>
        <stp>BDP|19797041185650199</stp>
        <tr r="L9" s="2"/>
      </tp>
      <tp t="s">
        <v>#N/A N/A</v>
        <stp/>
        <stp>BDP|84643138175330758</stp>
        <tr r="O13" s="2"/>
      </tp>
      <tp t="s">
        <v>#N/A Requesting Data...1256386354</v>
        <stp/>
        <stp>BADDPERIODS|6564149926011815852</stp>
        <tr r="A4" s="2"/>
      </tp>
      <tp t="s">
        <v>#N/A N/A</v>
        <stp/>
        <stp>BDP|846268016761247722</stp>
        <tr r="P26" s="2"/>
      </tp>
      <tp t="s">
        <v>#N/A N/A</v>
        <stp/>
        <stp>BDH|400031831882794483</stp>
        <tr r="D13" s="2"/>
      </tp>
      <tp t="s">
        <v>#N/A Requesting Data...3740330841</v>
        <stp/>
        <stp>BDP|247926633757066891</stp>
        <tr r="AB46" s="2"/>
      </tp>
      <tp t="s">
        <v>#N/A Requesting Data...3876642202</v>
        <stp/>
        <stp>BDP|336386060459783970</stp>
        <tr r="B33" s="2"/>
      </tp>
      <tp t="s">
        <v>#N/A N/A</v>
        <stp/>
        <stp>BDH|727672451535815326</stp>
        <tr r="M58" s="2"/>
      </tp>
      <tp t="s">
        <v>#N/A N/A</v>
        <stp/>
        <stp>BDP|597329786156370802</stp>
        <tr r="Q8" s="2"/>
      </tp>
      <tp t="s">
        <v>#N/A N/A</v>
        <stp/>
        <stp>BDP|760868126769979717</stp>
        <tr r="Q9" s="2"/>
      </tp>
      <tp t="s">
        <v>#N/A N/A</v>
        <stp/>
        <stp>BDH|472758020186125779</stp>
        <tr r="M40" s="2"/>
      </tp>
      <tp t="s">
        <v>#N/A Requesting Data...945825477</v>
        <stp/>
        <stp>BDP|296713171435665163</stp>
        <tr r="L49" s="2"/>
      </tp>
      <tp t="s">
        <v>#N/A N/A</v>
        <stp/>
        <stp>BDP|528112313305194208</stp>
        <tr r="AU43" s="2"/>
      </tp>
      <tp t="s">
        <v>#N/A Requesting Data...2478630416</v>
        <stp/>
        <stp>BDP|746973704529213714</stp>
        <tr r="AB29" s="2"/>
      </tp>
      <tp t="s">
        <v>#N/A Requesting Data...2861396452</v>
        <stp/>
        <stp>BDP|255935742649324312</stp>
        <tr r="U46" s="2"/>
      </tp>
      <tp t="s">
        <v>#N/A N/A</v>
        <stp/>
        <stp>BDP|718254014074185057</stp>
        <tr r="F42" s="2"/>
      </tp>
      <tp t="s">
        <v>#N/A Requesting Data...1396176789</v>
        <stp/>
        <stp>BDP|493572665534675022</stp>
        <tr r="AY44" s="2"/>
      </tp>
      <tp t="s">
        <v>#N/A Requesting Data...3466280060</v>
        <stp/>
        <stp>BDP|940830677031746842</stp>
        <tr r="AY49" s="2"/>
      </tp>
      <tp t="s">
        <v>#N/A N/A</v>
        <stp/>
        <stp>BDP|420090974185824443</stp>
        <tr r="O26" s="2"/>
      </tp>
      <tp t="s">
        <v>#N/A Requesting Data...1143923576</v>
        <stp/>
        <stp>BDP|689131211765419375</stp>
        <tr r="W44" s="2"/>
      </tp>
      <tp t="s">
        <v>#N/A N/A</v>
        <stp/>
        <stp>BDH|682119161031206048</stp>
        <tr r="D44" s="2"/>
      </tp>
      <tp t="s">
        <v>#N/A Requesting Data...1298265470</v>
        <stp/>
        <stp>BDP|822019571361081097</stp>
        <tr r="C49" s="2"/>
      </tp>
      <tp t="s">
        <v>#N/A N/A</v>
        <stp/>
        <stp>BDP|484462043156982763</stp>
        <tr r="Q57" s="2"/>
      </tp>
      <tp t="s">
        <v>#N/A N/A</v>
        <stp/>
        <stp>BDP|893714921921712510</stp>
        <tr r="O52" s="2"/>
      </tp>
      <tp t="s">
        <v>#N/A N/A</v>
        <stp/>
        <stp>BDH|713274644622333570</stp>
        <tr r="D59" s="2"/>
      </tp>
      <tp t="s">
        <v>#N/A Requesting Data...3304895822</v>
        <stp/>
        <stp>BDP|391576627552292409</stp>
        <tr r="AY40" s="2"/>
      </tp>
      <tp t="s">
        <v>#N/A N/A</v>
        <stp/>
        <stp>BDP|472126714990856021</stp>
        <tr r="H35" s="2"/>
      </tp>
      <tp t="s">
        <v>#N/A N/A</v>
        <stp/>
        <stp>BDP|708139439903005175</stp>
        <tr r="O35" s="2"/>
      </tp>
      <tp t="s">
        <v>#N/A N/A</v>
        <stp/>
        <stp>BDP|845352341250321744</stp>
        <tr r="F19" s="2"/>
      </tp>
      <tp t="s">
        <v>#N/A N/A</v>
        <stp/>
        <stp>BDP|897390553086093060</stp>
        <tr r="O54" s="2"/>
      </tp>
      <tp t="s">
        <v>#N/A Requesting Data...1497647244</v>
        <stp/>
        <stp>BDP|665226590012605941</stp>
        <tr r="AF37" s="2"/>
      </tp>
      <tp t="s">
        <v>#N/A N/A</v>
        <stp/>
        <stp>BDP|500415346537181738</stp>
        <tr r="Q29" s="2"/>
      </tp>
      <tp t="s">
        <v>#N/A Requesting Data...1131614805</v>
        <stp/>
        <stp>BDP|638049222032455385</stp>
        <tr r="B29" s="2"/>
      </tp>
      <tp t="s">
        <v>#N/A N/A</v>
        <stp/>
        <stp>BDP|352427364919815862</stp>
        <tr r="O44" s="2"/>
      </tp>
      <tp t="s">
        <v>#N/A N/A</v>
        <stp/>
        <stp>BDP|390226357344012027</stp>
        <tr r="BB52" s="2"/>
      </tp>
      <tp t="s">
        <v>#N/A N/A</v>
        <stp/>
        <stp>BDP|131497681259995628</stp>
        <tr r="H51" s="2"/>
      </tp>
      <tp t="s">
        <v>#N/A N/A</v>
        <stp/>
        <stp>BDP|955437600995277343</stp>
        <tr r="AU22" s="2"/>
      </tp>
      <tp t="s">
        <v>#N/A N/A</v>
        <stp/>
        <stp>BDP|754278564176235087</stp>
        <tr r="H42" s="2"/>
      </tp>
      <tp t="s">
        <v>#N/A Requesting Data...1072892159</v>
        <stp/>
        <stp>BDP|996494879254197527</stp>
        <tr r="AZ36" s="2"/>
      </tp>
      <tp t="s">
        <v>#N/A Requesting Data...1456345442</v>
        <stp/>
        <stp>BDP|285965845174039475</stp>
        <tr r="W39" s="2"/>
      </tp>
      <tp t="s">
        <v>#N/A Requesting Data...3179691838</v>
        <stp/>
        <stp>BDP|365660980026862449</stp>
        <tr r="AB47" s="2"/>
      </tp>
      <tp t="s">
        <v>#N/A Requesting Data...957346434</v>
        <stp/>
        <stp>BDP|301867098397887942</stp>
        <tr r="B49" s="2"/>
      </tp>
      <tp t="s">
        <v>#N/A Requesting Data...2710458318</v>
        <stp/>
        <stp>BDP|347491729468955198</stp>
        <tr r="AY11" s="2"/>
      </tp>
      <tp t="s">
        <v>#N/A Requesting Data...1854230662</v>
        <stp/>
        <stp>BDP|480123379499757100</stp>
        <tr r="L54" s="2"/>
      </tp>
      <tp t="s">
        <v>#N/A Requesting Data...1245304472</v>
        <stp/>
        <stp>BDP|375424952969457660</stp>
        <tr r="AY52" s="2"/>
      </tp>
      <tp t="s">
        <v>#N/A Requesting Data...3087190375</v>
        <stp/>
        <stp>BDP|636910162838041973</stp>
        <tr r="U44" s="2"/>
      </tp>
      <tp t="s">
        <v>#N/A Requesting Data...1631789791</v>
        <stp/>
        <stp>BDP|526762078198553159</stp>
        <tr r="B22" s="2"/>
      </tp>
      <tp t="s">
        <v>#N/A N/A</v>
        <stp/>
        <stp>BDH|343879134415511701</stp>
        <tr r="M60" s="2"/>
      </tp>
      <tp t="s">
        <v>#N/A N/A</v>
        <stp/>
        <stp>BDP|969237484577823443</stp>
        <tr r="AU23" s="2"/>
      </tp>
      <tp t="s">
        <v>#N/A Requesting Data...2991130671</v>
        <stp/>
        <stp>BDP|849564068979377368</stp>
        <tr r="U38" s="2"/>
      </tp>
      <tp t="s">
        <v>#N/A N/A</v>
        <stp/>
        <stp>BDP|775217959618673723</stp>
        <tr r="P55" s="2"/>
      </tp>
      <tp t="s">
        <v>#N/A Requesting Data...1952812741</v>
        <stp/>
        <stp>BDP|983211155508858737</stp>
        <tr r="L8" s="2"/>
      </tp>
      <tp t="s">
        <v>#N/A Requesting Data...4263179210</v>
        <stp/>
        <stp>BDP|988103613333775824</stp>
        <tr r="AY13" s="2"/>
      </tp>
      <tp t="s">
        <v>#N/A N/A</v>
        <stp/>
        <stp>BDP|671322369497918905</stp>
        <tr r="P36" s="2"/>
      </tp>
      <tp t="s">
        <v>#N/A Requesting Data...3304955054</v>
        <stp/>
        <stp>BDP|755823501323140014</stp>
        <tr r="AF35" s="2"/>
      </tp>
      <tp t="s">
        <v>#N/A N/A</v>
        <stp/>
        <stp>BDP|530609739466945878</stp>
        <tr r="F22" s="2"/>
      </tp>
      <tp t="s">
        <v>#N/A Requesting Data...1295456905</v>
        <stp/>
        <stp>BDP|971661247821542967</stp>
        <tr r="AB23" s="2"/>
      </tp>
      <tp t="s">
        <v>#N/A N/A</v>
        <stp/>
        <stp>BDP|780814626290585022</stp>
        <tr r="AT23" s="2"/>
      </tp>
      <tp t="s">
        <v>#N/A Requesting Data...3258216381</v>
        <stp/>
        <stp>BDP|420367368427330898</stp>
        <tr r="K54" s="2"/>
      </tp>
      <tp t="s">
        <v>#N/A N/A</v>
        <stp/>
        <stp>BDP|320869671961429414</stp>
        <tr r="BB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volatileDependencies" Target="volatileDependenci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6F5B9-F1D5-483F-AE00-D94C46ACAE99}">
  <sheetPr codeName="Sheet1"/>
  <dimension ref="A1:B54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103</v>
      </c>
      <c r="B1" t="s">
        <v>104</v>
      </c>
    </row>
    <row r="2" spans="1:2" x14ac:dyDescent="0.25">
      <c r="A2" s="2" t="s">
        <v>51</v>
      </c>
      <c r="B2" s="3" t="s">
        <v>52</v>
      </c>
    </row>
    <row r="3" spans="1:2" x14ac:dyDescent="0.25">
      <c r="A3" s="2" t="s">
        <v>79</v>
      </c>
      <c r="B3" s="3" t="s">
        <v>80</v>
      </c>
    </row>
    <row r="4" spans="1:2" x14ac:dyDescent="0.25">
      <c r="A4" s="2" t="s">
        <v>45</v>
      </c>
      <c r="B4" s="3" t="s">
        <v>46</v>
      </c>
    </row>
    <row r="5" spans="1:2" x14ac:dyDescent="0.25">
      <c r="A5" s="2" t="s">
        <v>77</v>
      </c>
      <c r="B5" s="3" t="s">
        <v>78</v>
      </c>
    </row>
    <row r="6" spans="1:2" x14ac:dyDescent="0.25">
      <c r="A6" s="2" t="s">
        <v>97</v>
      </c>
      <c r="B6" s="3" t="s">
        <v>78</v>
      </c>
    </row>
    <row r="7" spans="1:2" x14ac:dyDescent="0.25">
      <c r="A7" s="2" t="s">
        <v>41</v>
      </c>
      <c r="B7" s="3" t="s">
        <v>42</v>
      </c>
    </row>
    <row r="8" spans="1:2" x14ac:dyDescent="0.25">
      <c r="A8" s="2" t="s">
        <v>73</v>
      </c>
      <c r="B8" s="3" t="s">
        <v>74</v>
      </c>
    </row>
    <row r="9" spans="1:2" x14ac:dyDescent="0.25">
      <c r="A9" s="2" t="s">
        <v>35</v>
      </c>
      <c r="B9" s="3" t="s">
        <v>36</v>
      </c>
    </row>
    <row r="10" spans="1:2" x14ac:dyDescent="0.25">
      <c r="A10" s="2" t="s">
        <v>71</v>
      </c>
      <c r="B10" s="3" t="s">
        <v>72</v>
      </c>
    </row>
    <row r="11" spans="1:2" x14ac:dyDescent="0.25">
      <c r="A11" s="2" t="s">
        <v>96</v>
      </c>
      <c r="B11" s="3" t="s">
        <v>72</v>
      </c>
    </row>
    <row r="12" spans="1:2" x14ac:dyDescent="0.25">
      <c r="A12" s="2" t="s">
        <v>31</v>
      </c>
      <c r="B12" s="3" t="s">
        <v>32</v>
      </c>
    </row>
    <row r="13" spans="1:2" x14ac:dyDescent="0.25">
      <c r="A13" s="2" t="s">
        <v>67</v>
      </c>
      <c r="B13" s="3" t="s">
        <v>68</v>
      </c>
    </row>
    <row r="14" spans="1:2" x14ac:dyDescent="0.25">
      <c r="A14" s="2" t="s">
        <v>25</v>
      </c>
      <c r="B14" s="3" t="s">
        <v>26</v>
      </c>
    </row>
    <row r="15" spans="1:2" x14ac:dyDescent="0.25">
      <c r="A15" s="2" t="s">
        <v>65</v>
      </c>
      <c r="B15" s="3" t="s">
        <v>66</v>
      </c>
    </row>
    <row r="16" spans="1:2" x14ac:dyDescent="0.25">
      <c r="A16" s="2" t="s">
        <v>95</v>
      </c>
      <c r="B16" s="3" t="s">
        <v>66</v>
      </c>
    </row>
    <row r="17" spans="1:2" x14ac:dyDescent="0.25">
      <c r="A17" s="2" t="s">
        <v>21</v>
      </c>
      <c r="B17" s="3" t="s">
        <v>22</v>
      </c>
    </row>
    <row r="18" spans="1:2" x14ac:dyDescent="0.25">
      <c r="A18" s="2" t="s">
        <v>101</v>
      </c>
      <c r="B18" s="3" t="s">
        <v>102</v>
      </c>
    </row>
    <row r="19" spans="1:2" x14ac:dyDescent="0.25">
      <c r="A19" s="2" t="s">
        <v>61</v>
      </c>
      <c r="B19" s="3" t="s">
        <v>62</v>
      </c>
    </row>
    <row r="20" spans="1:2" x14ac:dyDescent="0.25">
      <c r="A20" s="2" t="s">
        <v>15</v>
      </c>
      <c r="B20" s="3" t="s">
        <v>16</v>
      </c>
    </row>
    <row r="21" spans="1:2" x14ac:dyDescent="0.25">
      <c r="A21" s="2" t="s">
        <v>59</v>
      </c>
      <c r="B21" s="3" t="s">
        <v>60</v>
      </c>
    </row>
    <row r="22" spans="1:2" x14ac:dyDescent="0.25">
      <c r="A22" s="2" t="s">
        <v>93</v>
      </c>
      <c r="B22" s="3" t="s">
        <v>94</v>
      </c>
    </row>
    <row r="23" spans="1:2" x14ac:dyDescent="0.25">
      <c r="A23" s="2" t="s">
        <v>11</v>
      </c>
      <c r="B23" s="3" t="s">
        <v>12</v>
      </c>
    </row>
    <row r="24" spans="1:2" x14ac:dyDescent="0.25">
      <c r="A24" s="2" t="s">
        <v>100</v>
      </c>
      <c r="B24" s="3" t="s">
        <v>94</v>
      </c>
    </row>
    <row r="25" spans="1:2" x14ac:dyDescent="0.25">
      <c r="A25" s="2" t="s">
        <v>55</v>
      </c>
      <c r="B25" s="3" t="s">
        <v>56</v>
      </c>
    </row>
    <row r="26" spans="1:2" x14ac:dyDescent="0.25">
      <c r="A26" s="2" t="s">
        <v>5</v>
      </c>
      <c r="B26" s="3" t="s">
        <v>6</v>
      </c>
    </row>
    <row r="27" spans="1:2" x14ac:dyDescent="0.25">
      <c r="A27" s="2" t="s">
        <v>53</v>
      </c>
      <c r="B27" s="3" t="s">
        <v>54</v>
      </c>
    </row>
    <row r="28" spans="1:2" x14ac:dyDescent="0.25">
      <c r="A28" s="2" t="s">
        <v>47</v>
      </c>
      <c r="B28" s="3" t="s">
        <v>48</v>
      </c>
    </row>
    <row r="29" spans="1:2" x14ac:dyDescent="0.25">
      <c r="A29" s="2" t="s">
        <v>43</v>
      </c>
      <c r="B29" s="3" t="s">
        <v>44</v>
      </c>
    </row>
    <row r="30" spans="1:2" x14ac:dyDescent="0.25">
      <c r="A30" s="2" t="s">
        <v>37</v>
      </c>
      <c r="B30" s="3" t="s">
        <v>38</v>
      </c>
    </row>
    <row r="31" spans="1:2" x14ac:dyDescent="0.25">
      <c r="A31" s="2" t="s">
        <v>33</v>
      </c>
      <c r="B31" s="3" t="s">
        <v>34</v>
      </c>
    </row>
    <row r="32" spans="1:2" x14ac:dyDescent="0.25">
      <c r="A32" s="2" t="s">
        <v>98</v>
      </c>
      <c r="B32" s="3" t="s">
        <v>99</v>
      </c>
    </row>
    <row r="33" spans="1:2" x14ac:dyDescent="0.25">
      <c r="A33" s="2" t="s">
        <v>27</v>
      </c>
      <c r="B33" s="3" t="s">
        <v>28</v>
      </c>
    </row>
    <row r="34" spans="1:2" x14ac:dyDescent="0.25">
      <c r="A34" s="2" t="s">
        <v>23</v>
      </c>
      <c r="B34" s="3" t="s">
        <v>24</v>
      </c>
    </row>
    <row r="35" spans="1:2" x14ac:dyDescent="0.25">
      <c r="A35" s="2" t="s">
        <v>17</v>
      </c>
      <c r="B35" s="3" t="s">
        <v>18</v>
      </c>
    </row>
    <row r="36" spans="1:2" x14ac:dyDescent="0.25">
      <c r="A36" s="2" t="s">
        <v>13</v>
      </c>
      <c r="B36" s="3" t="s">
        <v>14</v>
      </c>
    </row>
    <row r="37" spans="1:2" x14ac:dyDescent="0.25">
      <c r="A37" s="2" t="s">
        <v>7</v>
      </c>
      <c r="B37" s="3" t="s">
        <v>8</v>
      </c>
    </row>
    <row r="38" spans="1:2" x14ac:dyDescent="0.25">
      <c r="A38" s="2" t="s">
        <v>1</v>
      </c>
      <c r="B38" s="3" t="s">
        <v>2</v>
      </c>
    </row>
    <row r="39" spans="1:2" x14ac:dyDescent="0.25">
      <c r="A39" s="2" t="s">
        <v>91</v>
      </c>
      <c r="B39" s="3" t="s">
        <v>92</v>
      </c>
    </row>
    <row r="40" spans="1:2" x14ac:dyDescent="0.25">
      <c r="A40" s="2" t="s">
        <v>89</v>
      </c>
      <c r="B40" s="3" t="s">
        <v>90</v>
      </c>
    </row>
    <row r="41" spans="1:2" x14ac:dyDescent="0.25">
      <c r="A41" s="2" t="s">
        <v>87</v>
      </c>
      <c r="B41" s="3" t="s">
        <v>88</v>
      </c>
    </row>
    <row r="42" spans="1:2" x14ac:dyDescent="0.25">
      <c r="A42" s="2" t="s">
        <v>85</v>
      </c>
      <c r="B42" s="3" t="s">
        <v>86</v>
      </c>
    </row>
    <row r="43" spans="1:2" x14ac:dyDescent="0.25">
      <c r="A43" s="2" t="s">
        <v>83</v>
      </c>
      <c r="B43" s="3" t="s">
        <v>84</v>
      </c>
    </row>
    <row r="44" spans="1:2" x14ac:dyDescent="0.25">
      <c r="A44" s="2" t="s">
        <v>81</v>
      </c>
      <c r="B44" s="3" t="s">
        <v>82</v>
      </c>
    </row>
    <row r="45" spans="1:2" x14ac:dyDescent="0.25">
      <c r="A45" s="2" t="s">
        <v>75</v>
      </c>
      <c r="B45" s="3" t="s">
        <v>76</v>
      </c>
    </row>
    <row r="46" spans="1:2" x14ac:dyDescent="0.25">
      <c r="A46" s="2" t="s">
        <v>69</v>
      </c>
      <c r="B46" s="3" t="s">
        <v>70</v>
      </c>
    </row>
    <row r="47" spans="1:2" x14ac:dyDescent="0.25">
      <c r="A47" s="2" t="s">
        <v>63</v>
      </c>
      <c r="B47" s="3" t="s">
        <v>64</v>
      </c>
    </row>
    <row r="48" spans="1:2" x14ac:dyDescent="0.25">
      <c r="A48" s="2" t="s">
        <v>57</v>
      </c>
      <c r="B48" s="3" t="s">
        <v>58</v>
      </c>
    </row>
    <row r="49" spans="1:2" x14ac:dyDescent="0.25">
      <c r="A49" s="2" t="s">
        <v>49</v>
      </c>
      <c r="B49" s="3" t="s">
        <v>50</v>
      </c>
    </row>
    <row r="50" spans="1:2" x14ac:dyDescent="0.25">
      <c r="A50" s="2" t="s">
        <v>39</v>
      </c>
      <c r="B50" s="3" t="s">
        <v>40</v>
      </c>
    </row>
    <row r="51" spans="1:2" x14ac:dyDescent="0.25">
      <c r="A51" s="2" t="s">
        <v>29</v>
      </c>
      <c r="B51" s="3" t="s">
        <v>30</v>
      </c>
    </row>
    <row r="52" spans="1:2" x14ac:dyDescent="0.25">
      <c r="A52" s="2" t="s">
        <v>19</v>
      </c>
      <c r="B52" s="3" t="s">
        <v>20</v>
      </c>
    </row>
    <row r="53" spans="1:2" x14ac:dyDescent="0.25">
      <c r="A53" s="2" t="s">
        <v>9</v>
      </c>
      <c r="B53" s="3" t="s">
        <v>10</v>
      </c>
    </row>
    <row r="54" spans="1:2" x14ac:dyDescent="0.25">
      <c r="A54" s="2" t="s">
        <v>3</v>
      </c>
      <c r="B54" s="3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0444-3089-483D-BA20-3CBDD7B1C47A}">
  <sheetPr codeName="Sheet2"/>
  <dimension ref="A1:CD61"/>
  <sheetViews>
    <sheetView showGridLines="0" tabSelected="1" workbookViewId="0">
      <pane ySplit="7" topLeftCell="A8" activePane="bottomLeft" state="frozen"/>
      <selection pane="bottomLeft" activeCell="A8" sqref="A8"/>
    </sheetView>
  </sheetViews>
  <sheetFormatPr defaultRowHeight="15" outlineLevelCol="1" x14ac:dyDescent="0.25"/>
  <cols>
    <col min="1" max="1" width="9.42578125" bestFit="1" customWidth="1"/>
    <col min="4" max="8" width="9.140625" hidden="1" customWidth="1" outlineLevel="1"/>
    <col min="9" max="9" width="1.7109375" hidden="1" customWidth="1" outlineLevel="1"/>
    <col min="10" max="10" width="9.140625" style="8" hidden="1" customWidth="1" outlineLevel="1"/>
    <col min="11" max="17" width="9.140625" hidden="1" customWidth="1" outlineLevel="1"/>
    <col min="18" max="18" width="1.7109375" hidden="1" customWidth="1" outlineLevel="1"/>
    <col min="19" max="28" width="9.140625" hidden="1" customWidth="1" outlineLevel="1"/>
    <col min="29" max="29" width="9.140625" hidden="1" customWidth="1" outlineLevel="1" collapsed="1"/>
    <col min="30" max="30" width="9.140625" hidden="1" customWidth="1" outlineLevel="1"/>
    <col min="31" max="31" width="9.140625" collapsed="1"/>
    <col min="34" max="34" width="1.7109375" customWidth="1"/>
    <col min="37" max="37" width="1.7109375" customWidth="1"/>
    <col min="40" max="40" width="1.7109375" customWidth="1"/>
    <col min="43" max="43" width="1.7109375" customWidth="1"/>
    <col min="44" max="47" width="9.140625" hidden="1" customWidth="1" outlineLevel="1"/>
    <col min="48" max="48" width="9.140625" collapsed="1"/>
    <col min="50" max="50" width="1.7109375" customWidth="1"/>
    <col min="51" max="54" width="9.140625" hidden="1" customWidth="1" outlineLevel="1"/>
    <col min="55" max="55" width="9.140625" collapsed="1"/>
    <col min="57" max="57" width="1.7109375" customWidth="1"/>
    <col min="58" max="59" width="9.140625" hidden="1" customWidth="1" outlineLevel="1"/>
    <col min="60" max="60" width="9.140625" collapsed="1"/>
    <col min="65" max="66" width="9.140625" hidden="1" customWidth="1" outlineLevel="1"/>
    <col min="67" max="68" width="9.140625" style="5" hidden="1" customWidth="1" outlineLevel="1"/>
    <col min="69" max="69" width="9.140625" hidden="1" customWidth="1" outlineLevel="1"/>
    <col min="70" max="72" width="9.140625" style="5" hidden="1" customWidth="1" outlineLevel="1"/>
    <col min="73" max="73" width="9.140625" hidden="1" customWidth="1" outlineLevel="1"/>
    <col min="74" max="74" width="9.140625" style="5" hidden="1" customWidth="1" outlineLevel="1"/>
    <col min="75" max="76" width="9.140625" style="7" hidden="1" customWidth="1" outlineLevel="1"/>
    <col min="77" max="77" width="9.140625" hidden="1" customWidth="1" outlineLevel="1"/>
    <col min="78" max="78" width="9.140625" collapsed="1"/>
  </cols>
  <sheetData>
    <row r="1" spans="1:82" x14ac:dyDescent="0.25">
      <c r="A1" s="1" cm="1">
        <f t="array" aca="1" ref="A1" ca="1">_xll.BADDPERIODS(A3,"numberofperiods=-1","CDR=US")</f>
        <v>45737</v>
      </c>
      <c r="B1" t="s">
        <v>105</v>
      </c>
      <c r="V1" t="s">
        <v>171</v>
      </c>
      <c r="AE1" s="19">
        <v>3.4317E-2</v>
      </c>
      <c r="AF1" s="23" t="s">
        <v>125</v>
      </c>
      <c r="BH1" s="38" t="s">
        <v>173</v>
      </c>
      <c r="BL1" t="s">
        <v>152</v>
      </c>
      <c r="BM1" s="5" cm="1">
        <f t="array" ref="BM1">_xll.BDP(BL1&amp;" Govt","YAS_RISK","YIELD_BETA_ASSUMPTION=1",)</f>
        <v>1.8485881465657883</v>
      </c>
      <c r="BN1" cm="1">
        <f t="array" ref="BN1">_xll.BDP($BL1&amp;" Govt","CBBT_PX_BID")</f>
        <v>100.2734375</v>
      </c>
      <c r="BO1" cm="1">
        <f t="array" ref="BO1">_xll.BDP($BL1&amp;" Govt","CBBT_PX_ASK")</f>
        <v>100.28125</v>
      </c>
      <c r="BQ1">
        <f>1*0.03125/(BM1/100)</f>
        <v>1.6904793021666096</v>
      </c>
      <c r="BZ1" s="4" t="str">
        <f t="shared" ref="BZ1:CA5" si="0">TEXT(ROUNDDOWN(BN1,0),"00")&amp;"-"&amp;TEXT(ROUNDDOWN((BN1-ROUNDDOWN(BN1,0))/(1/32),0),"00")&amp;ROUND(((BN1-ROUNDDOWN(BN1,0))-ROUNDDOWN((BN1-ROUNDDOWN(BN1,0))/(0.03125),0)*(1/32))/(1/(32*8)),0)</f>
        <v>100-086</v>
      </c>
      <c r="CA1" s="4" t="str">
        <f t="shared" si="0"/>
        <v>100-090</v>
      </c>
    </row>
    <row r="2" spans="1:82" x14ac:dyDescent="0.25">
      <c r="A2" s="1" cm="1">
        <f t="array" aca="1" ref="A2" ca="1">_xll.BADDPERIODS(A1,"numberofperiods=1","CDR=US")</f>
        <v>45740</v>
      </c>
      <c r="B2" t="s">
        <v>111</v>
      </c>
      <c r="V2" cm="1">
        <f t="array" aca="1" ref="V2" ca="1">_xll.BDH(V1,"PX_LAST",A4,A4)</f>
        <v>317.20447999999999</v>
      </c>
      <c r="AE2" s="19" t="s">
        <v>123</v>
      </c>
      <c r="AF2" s="23" t="s">
        <v>122</v>
      </c>
      <c r="AS2" s="5"/>
      <c r="BH2" t="s">
        <v>174</v>
      </c>
      <c r="BL2" t="s">
        <v>153</v>
      </c>
      <c r="BM2" s="5" cm="1">
        <f t="array" ref="BM2">_xll.BDP(BL2&amp;" Govt","YAS_RISK","YIELD_BETA_ASSUMPTION=1",)</f>
        <v>2.7780755496131349</v>
      </c>
      <c r="BN2" cm="1">
        <f t="array" ref="BN2">_xll.BDP($BL2&amp;" Govt","CBBT_PX_BID")</f>
        <v>99.78125</v>
      </c>
      <c r="BO2" cm="1">
        <f t="array" ref="BO2">_xll.BDP($BL2&amp;" Govt","CBBT_PX_ASK")</f>
        <v>99.7890625</v>
      </c>
      <c r="BZ2" s="4" t="str">
        <f t="shared" si="0"/>
        <v>99-250</v>
      </c>
      <c r="CA2" s="4" t="str">
        <f t="shared" si="0"/>
        <v>99-252</v>
      </c>
    </row>
    <row r="3" spans="1:82" x14ac:dyDescent="0.25">
      <c r="A3" s="1">
        <f ca="1">TODAY()+1</f>
        <v>45740</v>
      </c>
      <c r="B3" t="s">
        <v>106</v>
      </c>
      <c r="AE3" s="11" cm="1">
        <f t="array" aca="1" ref="AE3" ca="1">_xll.BDH(AE2&amp;" Comdty","PX_SETTLE",$A$1,$A$1)</f>
        <v>71.61</v>
      </c>
      <c r="AF3" s="23" t="s">
        <v>124</v>
      </c>
      <c r="BL3" t="s">
        <v>154</v>
      </c>
      <c r="BM3" s="5" cm="1">
        <f t="array" ref="BM3">_xll.BDP(BL3&amp;" Govt","YAS_RISK","YIELD_BETA_ASSUMPTION=1",)</f>
        <v>4.431446231535574</v>
      </c>
      <c r="BN3" cm="1">
        <f t="array" ref="BN3">_xll.BDP($BL3&amp;" Govt","CBBT_PX_BID")</f>
        <v>99.8515625</v>
      </c>
      <c r="BO3" cm="1">
        <f t="array" ref="BO3">_xll.BDP($BL3&amp;" Govt","CBBT_PX_ASK")</f>
        <v>99.859375</v>
      </c>
      <c r="BZ3" s="4" t="str">
        <f t="shared" si="0"/>
        <v>99-272</v>
      </c>
      <c r="CA3" s="4" t="str">
        <f t="shared" si="0"/>
        <v>99-274</v>
      </c>
    </row>
    <row r="4" spans="1:82" x14ac:dyDescent="0.25">
      <c r="A4" s="1" cm="1">
        <f t="array" aca="1" ref="A4" ca="1">_xll.BADDPERIODS(A3,"numberofperiods=1","CDR=US")</f>
        <v>45741</v>
      </c>
      <c r="B4" t="s">
        <v>107</v>
      </c>
      <c r="AE4" s="11" cm="1">
        <f t="array" ref="AE4">_xll.BDP(AE2&amp;" Comdty","PX_LAST")</f>
        <v>71.48</v>
      </c>
      <c r="AF4" s="23" t="s">
        <v>128</v>
      </c>
      <c r="BL4" t="s">
        <v>155</v>
      </c>
      <c r="BM4" s="5" cm="1">
        <f t="array" ref="BM4">_xll.BDP(BL4&amp;" Govt","YAS_RISK","YIELD_BETA_ASSUMPTION=1",)</f>
        <v>8.1411184783263479</v>
      </c>
      <c r="BN4" cm="1">
        <f t="array" ref="BN4">_xll.BDP($BL4&amp;" Govt","CBBT_PX_BID")</f>
        <v>102.84375</v>
      </c>
      <c r="BO4" cm="1">
        <f t="array" ref="BO4">_xll.BDP($BL4&amp;" Govt","CBBT_PX_ASK")</f>
        <v>102.859375</v>
      </c>
      <c r="BZ4" s="4" t="str">
        <f t="shared" si="0"/>
        <v>102-270</v>
      </c>
      <c r="CA4" s="4" t="str">
        <f t="shared" si="0"/>
        <v>102-274</v>
      </c>
    </row>
    <row r="5" spans="1:82" ht="15.75" thickBot="1" x14ac:dyDescent="0.3">
      <c r="A5" cm="1">
        <f t="array" ref="A5">_xll.BDP(B5,"PX_LAST")</f>
        <v>4.335</v>
      </c>
      <c r="B5" t="s">
        <v>108</v>
      </c>
      <c r="BL5" t="s">
        <v>156</v>
      </c>
      <c r="BM5" s="5" cm="1">
        <f t="array" ref="BM5">_xll.BDP(BL5&amp;" Govt","YAS_RISK","YIELD_BETA_ASSUMPTION=1",)</f>
        <v>16.189307996310731</v>
      </c>
      <c r="BN5" cm="1">
        <f t="array" ref="BN5">_xll.BDP($BL5&amp;" Govt","CBBT_PX_BID")</f>
        <v>100.3125</v>
      </c>
      <c r="BO5" cm="1">
        <f t="array" ref="BO5">_xll.BDP($BL5&amp;" Govt","CBBT_PX_ASK")</f>
        <v>100.34375</v>
      </c>
      <c r="BQ5">
        <f>1*0.03125/(BM5/100)</f>
        <v>0.19302863350997673</v>
      </c>
      <c r="BZ5" s="4" t="str">
        <f t="shared" si="0"/>
        <v>100-100</v>
      </c>
      <c r="CA5" s="4" t="str">
        <f t="shared" si="0"/>
        <v>100-110</v>
      </c>
    </row>
    <row r="6" spans="1:82" ht="15.75" thickTop="1" x14ac:dyDescent="0.25">
      <c r="C6" s="9"/>
      <c r="D6" s="9"/>
      <c r="E6" s="9"/>
      <c r="F6" s="9"/>
      <c r="G6" s="9"/>
      <c r="H6" s="9"/>
      <c r="I6" s="9"/>
      <c r="J6" s="10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11" t="s">
        <v>130</v>
      </c>
      <c r="AF6" s="11" t="s">
        <v>133</v>
      </c>
      <c r="AG6" s="9"/>
      <c r="AI6" s="6" t="s">
        <v>135</v>
      </c>
      <c r="AJ6" s="6"/>
      <c r="AL6" s="6" t="s">
        <v>138</v>
      </c>
      <c r="AM6" s="6"/>
      <c r="AO6" s="6" t="s">
        <v>139</v>
      </c>
      <c r="AP6" s="6"/>
      <c r="AV6" s="6" t="s">
        <v>144</v>
      </c>
      <c r="AW6" s="6"/>
      <c r="BC6" s="6" t="s">
        <v>150</v>
      </c>
      <c r="BD6" s="6"/>
      <c r="BH6" s="29"/>
      <c r="BI6" s="30"/>
      <c r="BJ6" s="24" t="s">
        <v>151</v>
      </c>
      <c r="BK6" s="25"/>
      <c r="BN6" t="s">
        <v>159</v>
      </c>
      <c r="BQ6" t="s">
        <v>161</v>
      </c>
      <c r="BT6" s="5" t="s">
        <v>162</v>
      </c>
      <c r="BZ6" s="6" t="s">
        <v>166</v>
      </c>
      <c r="CA6" s="6"/>
      <c r="CB6" s="6"/>
      <c r="CC6" s="6"/>
    </row>
    <row r="7" spans="1:82" x14ac:dyDescent="0.25">
      <c r="A7" s="11" t="s">
        <v>103</v>
      </c>
      <c r="B7" s="11" t="s">
        <v>115</v>
      </c>
      <c r="C7" s="11" t="s">
        <v>116</v>
      </c>
      <c r="D7" s="11" t="s">
        <v>110</v>
      </c>
      <c r="E7" s="11" t="s">
        <v>110</v>
      </c>
      <c r="F7" s="11" t="s">
        <v>112</v>
      </c>
      <c r="G7" s="11" t="s">
        <v>113</v>
      </c>
      <c r="H7" s="11" t="s">
        <v>114</v>
      </c>
      <c r="I7" s="11"/>
      <c r="J7" s="11" t="s">
        <v>104</v>
      </c>
      <c r="K7" s="11" t="s">
        <v>115</v>
      </c>
      <c r="L7" s="11" t="s">
        <v>116</v>
      </c>
      <c r="M7" s="11" t="s">
        <v>110</v>
      </c>
      <c r="N7" s="11" t="s">
        <v>110</v>
      </c>
      <c r="O7" s="11" t="s">
        <v>112</v>
      </c>
      <c r="P7" s="11" t="s">
        <v>113</v>
      </c>
      <c r="Q7" s="11" t="s">
        <v>114</v>
      </c>
      <c r="R7" s="11"/>
      <c r="S7" s="11" t="s">
        <v>117</v>
      </c>
      <c r="T7" s="11" t="s">
        <v>118</v>
      </c>
      <c r="U7" s="11" t="s">
        <v>119</v>
      </c>
      <c r="V7" s="11" t="s">
        <v>172</v>
      </c>
      <c r="W7" s="11" t="s">
        <v>120</v>
      </c>
      <c r="X7" s="11" t="s">
        <v>126</v>
      </c>
      <c r="Y7" s="11" t="s">
        <v>127</v>
      </c>
      <c r="Z7" s="11" t="s">
        <v>121</v>
      </c>
      <c r="AA7" s="11" t="s">
        <v>157</v>
      </c>
      <c r="AB7" s="11" t="s">
        <v>132</v>
      </c>
      <c r="AC7" s="11" t="s">
        <v>109</v>
      </c>
      <c r="AD7" s="11" t="s">
        <v>129</v>
      </c>
      <c r="AE7" s="11" t="s">
        <v>131</v>
      </c>
      <c r="AF7" s="11" t="s">
        <v>131</v>
      </c>
      <c r="AG7" s="23" t="s">
        <v>134</v>
      </c>
      <c r="AI7" s="11" t="s">
        <v>136</v>
      </c>
      <c r="AJ7" s="11" t="s">
        <v>137</v>
      </c>
      <c r="AL7" s="11" t="s">
        <v>136</v>
      </c>
      <c r="AM7" s="11" t="s">
        <v>137</v>
      </c>
      <c r="AO7" s="11" t="s">
        <v>140</v>
      </c>
      <c r="AP7" s="11" t="s">
        <v>141</v>
      </c>
      <c r="AR7" t="s">
        <v>142</v>
      </c>
      <c r="AS7" t="s">
        <v>143</v>
      </c>
      <c r="AT7" t="s">
        <v>142</v>
      </c>
      <c r="AU7" t="s">
        <v>143</v>
      </c>
      <c r="AV7" s="11" t="s">
        <v>136</v>
      </c>
      <c r="AW7" s="11" t="s">
        <v>145</v>
      </c>
      <c r="AY7" t="s">
        <v>146</v>
      </c>
      <c r="AZ7" t="s">
        <v>147</v>
      </c>
      <c r="BA7" t="s">
        <v>148</v>
      </c>
      <c r="BB7" t="s">
        <v>149</v>
      </c>
      <c r="BC7" s="11" t="s">
        <v>136</v>
      </c>
      <c r="BD7" s="11" t="s">
        <v>145</v>
      </c>
      <c r="BF7" t="s">
        <v>136</v>
      </c>
      <c r="BG7" t="s">
        <v>145</v>
      </c>
      <c r="BH7" s="31" t="s">
        <v>115</v>
      </c>
      <c r="BI7" s="32" t="s">
        <v>116</v>
      </c>
      <c r="BJ7" s="32" t="s">
        <v>136</v>
      </c>
      <c r="BK7" s="33" t="s">
        <v>145</v>
      </c>
      <c r="BL7" s="11" t="s">
        <v>0</v>
      </c>
      <c r="BM7" s="11" t="s">
        <v>158</v>
      </c>
      <c r="BN7" s="11" t="s">
        <v>160</v>
      </c>
      <c r="BO7" s="14" t="s">
        <v>120</v>
      </c>
      <c r="BP7" s="14" t="s">
        <v>157</v>
      </c>
      <c r="BQ7" s="11" t="s">
        <v>160</v>
      </c>
      <c r="BR7" s="14" t="s">
        <v>120</v>
      </c>
      <c r="BS7" s="14" t="s">
        <v>157</v>
      </c>
      <c r="BT7" s="14" t="s">
        <v>163</v>
      </c>
      <c r="BU7" s="11" t="s">
        <v>164</v>
      </c>
      <c r="BV7" s="14" t="s">
        <v>165</v>
      </c>
      <c r="BW7" s="16"/>
      <c r="BX7" s="16"/>
      <c r="BY7" s="11"/>
      <c r="BZ7" s="11" t="s">
        <v>167</v>
      </c>
      <c r="CA7" s="11" t="s">
        <v>168</v>
      </c>
      <c r="CB7" s="11" t="s">
        <v>169</v>
      </c>
      <c r="CC7" s="11" t="s">
        <v>170</v>
      </c>
    </row>
    <row r="8" spans="1:82" x14ac:dyDescent="0.25">
      <c r="A8" s="19" t="s">
        <v>51</v>
      </c>
      <c r="B8" s="11" cm="1">
        <f t="array" ref="B8">_xll.BDP(A8&amp;" Govt","COUPON")</f>
        <v>0.125</v>
      </c>
      <c r="C8" s="17" cm="1">
        <f t="array" ref="C8">DATEVALUE(_xll.BDP(A8&amp;" Govt","MATURITY"))</f>
        <v>45762</v>
      </c>
      <c r="D8" s="15" cm="1">
        <f t="array" aca="1" ref="D8" ca="1">_xll.BDH(A8&amp;"@BVN4 CUSIP","PX_MID",$A$1,$A$1)</f>
        <v>100.123046875</v>
      </c>
      <c r="E8" s="15" t="str">
        <f ca="1">TEXT(ROUNDDOWN(D8,0),"00")&amp;"-"&amp;TEXT(ROUNDDOWN((D8-ROUNDDOWN(D8,0))/(1/32),0),"00")&amp;ROUND(((D8-ROUNDDOWN(D8,0))-ROUNDDOWN((D8-ROUNDDOWN(D8,0))/(0.03125),0)*(1/32))/(1/(32*8)),0)</f>
        <v>100-038</v>
      </c>
      <c r="F8" s="15" cm="1">
        <f t="array" aca="1" ref="F8" ca="1">_xll.BDP(A8&amp;" Govt","YAS_BOND_YLD","YAS_BOND_PX",D8,"SETTLE_DT",$A$2)</f>
        <v>-1.9074710000000001</v>
      </c>
      <c r="G8" s="15" cm="1">
        <f t="array" aca="1" ref="G8" ca="1">_xll.BDP(A8&amp;" Govt","REPO_FORWARD_PRICE","REPO_TERM_DATE",$A$4,"PX_ASK="&amp;D8,"SETTLE_DT",$A$2,"REPO_REPORATE="&amp;$A$5)</f>
        <v>100.11355438111809</v>
      </c>
      <c r="H8" s="15" cm="1">
        <f t="array" aca="1" ref="H8" ca="1">_xll.BDP(A8&amp;" Govt","YAS_BOND_YLD","YAS_BOND_PX",G8,"SETTLE_DT",$A$4)</f>
        <v>-1.8401689999999999</v>
      </c>
      <c r="I8" s="11"/>
      <c r="J8" s="11" t="str">
        <f>+VLOOKUP(A8,mapping!$A:$B,2,FALSE)</f>
        <v>912828ZL7</v>
      </c>
      <c r="K8" s="11" cm="1">
        <f t="array" ref="K8">_xll.BDP(J8&amp;" Govt","COUPON")</f>
        <v>0.375</v>
      </c>
      <c r="L8" s="17" cm="1">
        <f t="array" ref="L8">DATEVALUE(_xll.BDP(J8&amp;" Govt","MATURITY"))</f>
        <v>45777</v>
      </c>
      <c r="M8" s="15" cm="1">
        <f t="array" aca="1" ref="M8" ca="1">_xll.BDH(J8&amp;"@BVN4 CUSIP","PX_MID",$A$1,$A$1)</f>
        <v>99.609375</v>
      </c>
      <c r="N8" s="15" t="str">
        <f ca="1">TEXT(ROUNDDOWN(M8,0),"00")&amp;"-"&amp;TEXT(ROUNDDOWN((M8-ROUNDDOWN(M8,0))/(1/32),0),"00")&amp;ROUND(((M8-ROUNDDOWN(M8,0))-ROUNDDOWN((M8-ROUNDDOWN(M8,0))/(0.03125),0)*(1/32))/(1/(32*8)),0)</f>
        <v>99-194</v>
      </c>
      <c r="O8" s="15" cm="1">
        <f t="array" aca="1" ref="O8" ca="1">_xll.BDP(J8&amp;" Govt","YAS_BOND_YLD","YAS_BOND_PX",M8,"SETTLE_DT",$A$2)</f>
        <v>4.2069479999999997</v>
      </c>
      <c r="P8" s="15" cm="1">
        <f t="array" aca="1" ref="P8" ca="1">_xll.BDP(J8&amp;" Govt","REPO_FORWARD_PRICE","REPO_TERM_DATE",$A$4,"PX_ASK="&amp;M8,"SETTLE_DT",$A$2,"REPO_REPORATE="&amp;$A$5)</f>
        <v>99.620351680011211</v>
      </c>
      <c r="Q8" s="15" cm="1">
        <f t="array" aca="1" ref="Q8" ca="1">_xll.BDP(J8&amp;" Govt","YAS_BOND_YLD","YAS_BOND_PX",P8,"SETTLE_DT",$A$4)</f>
        <v>4.202216</v>
      </c>
      <c r="R8" s="11"/>
      <c r="S8" s="22">
        <f ca="1">100*(O8-F8)</f>
        <v>611.44190000000003</v>
      </c>
      <c r="T8" s="22">
        <f ca="1">100*(Q8-H8)</f>
        <v>604.23849999999993</v>
      </c>
      <c r="U8" s="15" cm="1">
        <f t="array" ref="U8">_xll.BDP($A8&amp;" Govt","BASE_CPI")</f>
        <v>258.30092999999999</v>
      </c>
      <c r="V8" s="15">
        <f ca="1">ROUND($V$2/U8,5)</f>
        <v>1.22804</v>
      </c>
      <c r="W8" s="14" cm="1">
        <f t="array" ref="W8">_xll.BDP($A8&amp;" Govt","YAS_RISK","YIELD_BETA_ASSUMPTION=1",)</f>
        <v>7.4154039423772036E-2</v>
      </c>
      <c r="X8" s="15">
        <f ca="1">+(0.1/U8)*100*(D8/W8)</f>
        <v>52.272500318962102</v>
      </c>
      <c r="Y8" s="15">
        <f t="shared" ref="Y8:Y39" ca="1" si="1">+X8*$AE$1*10</f>
        <v>17.938353934458224</v>
      </c>
      <c r="Z8" s="15">
        <f t="shared" ref="Z8:Z39" ca="1" si="2">+($AE$4-$AE$3)/0.42*Y8</f>
        <v>-5.5523476463797321</v>
      </c>
      <c r="AA8" s="14">
        <f t="shared" ref="AA8:AA39" ca="1" si="3">(Y8*10*W8*1000)/(420*(1/0.875))</f>
        <v>27.712529267778983</v>
      </c>
      <c r="AB8" s="15" cm="1">
        <f t="array" ref="AB8">_xll.BDP(J8&amp;" Govt","YLD_YTM_MID")</f>
        <v>4.2261863204219035</v>
      </c>
      <c r="AC8" s="19">
        <v>1</v>
      </c>
      <c r="AD8" s="14">
        <f t="shared" ref="AD8:AD39" ca="1" si="4">100*(AB8-Q8)*(1-AC8)</f>
        <v>0</v>
      </c>
      <c r="AE8" s="22">
        <f t="shared" ref="AE8:AE39" ca="1" si="5">+T8+AD8+Z8</f>
        <v>598.68615235362017</v>
      </c>
      <c r="AF8" s="22" cm="1">
        <f t="array" ref="AF8">(AB8-_xll.BDP(A8&amp;" Govt","YLD_YTM_MID"))*100</f>
        <v>623.03142051529198</v>
      </c>
      <c r="AG8" s="22">
        <f t="shared" ref="AG8:AG59" ca="1" si="6">+AF8-AE8</f>
        <v>24.345268161671811</v>
      </c>
      <c r="AI8" s="12">
        <v>1</v>
      </c>
      <c r="AJ8" s="12">
        <v>1</v>
      </c>
      <c r="AL8" s="13">
        <v>0</v>
      </c>
      <c r="AM8" s="13">
        <v>0</v>
      </c>
      <c r="AO8" s="14">
        <f ca="1">+(AI8+AL8)/32*$V8/$W8*100</f>
        <v>51.752069473503937</v>
      </c>
      <c r="AP8" s="14">
        <f ca="1">+(AJ8+AM8)/32*$V8/$W8*100</f>
        <v>51.752069473503937</v>
      </c>
      <c r="AR8" s="5">
        <f t="shared" ref="AR8:AR59" ca="1" si="7">+AB8-AE8/100+AO8/100</f>
        <v>-1.2431545083792592</v>
      </c>
      <c r="AS8" s="5">
        <f t="shared" ref="AS8:AS59" ca="1" si="8">+AB8-AE8/100-AP8/100</f>
        <v>-2.2781958978493382</v>
      </c>
      <c r="AT8" cm="1">
        <f t="array" aca="1" ref="AT8" ca="1">_xll.BDP($A8&amp;" Govt","YAS_BOND_PX","YAS_BOND_YLD",AR8,"SETTLE_DT",$A$4)</f>
        <v>100.07902832347389</v>
      </c>
      <c r="AU8" cm="1">
        <f t="array" aca="1" ref="AU8" ca="1">_xll.BDP($A8&amp;" Govt","YAS_BOND_PX","YAS_BOND_YLD",AS8,"SETTLE_DT",$A$4)</f>
        <v>100.13890114909188</v>
      </c>
      <c r="AV8" s="15" t="str">
        <f t="shared" ref="AV8:AV59" ca="1" si="9">TEXT(ROUNDDOWN(AT8,0),"00")&amp;"-"&amp;TEXT(ROUNDDOWN((AT8-ROUNDDOWN(AT8,0))/(1/32),0),"00")&amp;ROUND(((AT8-ROUNDDOWN(AT8,0))-ROUNDDOWN((AT8-ROUNDDOWN(AT8,0))/(0.03125),0)*(1/32))/(1/(32*8)),0)</f>
        <v>100-024</v>
      </c>
      <c r="AW8" s="15" t="str">
        <f t="shared" ref="AW8:AW59" ca="1" si="10">TEXT(ROUNDDOWN(AU8,0),"00")&amp;"-"&amp;TEXT(ROUNDDOWN((AU8-ROUNDDOWN(AU8,0))/(1/32),0),"00")&amp;ROUND(((AU8-ROUNDDOWN(AU8,0))-ROUNDDOWN((AU8-ROUNDDOWN(AU8,0))/(0.03125),0)*(1/32))/(1/(32*8)),0)</f>
        <v>100-044</v>
      </c>
      <c r="AY8" cm="1">
        <f t="array" ref="AY8">_xll.BDP($A8&amp;" Govt","CBBT_PX_BID")</f>
        <v>100.078125</v>
      </c>
      <c r="AZ8" cm="1">
        <f t="array" ref="AZ8">_xll.BDP($A8&amp;" Govt","CBBT_PX_ASK")</f>
        <v>100.1796875</v>
      </c>
      <c r="BA8">
        <f>AVERAGE(AY8:AZ8)</f>
        <v>100.12890625</v>
      </c>
      <c r="BB8" cm="1">
        <f t="array" aca="1" ref="BB8" ca="1">_xll.BDP(A8&amp;" Govt","YAS_BOND_YLD","YAS_BOND_PX",BA8,"SETTLE_DT",$A$4)</f>
        <v>-2.1054970000000002</v>
      </c>
      <c r="BC8" s="15" t="str">
        <f>TEXT(ROUNDDOWN(AY8,0),"00")&amp;"-"&amp;TEXT(ROUNDDOWN((AY8-ROUNDDOWN(AY8,0))/(1/32),0),"00")&amp;ROUND(((AY8-ROUNDDOWN(AY8,0))-ROUNDDOWN((AY8-ROUNDDOWN(AY8,0))/(0.03125),0)*(1/32))/(1/(32*8)),0)</f>
        <v>100-024</v>
      </c>
      <c r="BD8" s="15" t="str">
        <f>TEXT(ROUNDDOWN(AZ8,0),"00")&amp;"-"&amp;TEXT(ROUNDDOWN((AZ8-ROUNDDOWN(AZ8,0))/(1/32),0),"00")&amp;ROUND(((AZ8-ROUNDDOWN(AZ8,0))-ROUNDDOWN((AZ8-ROUNDDOWN(AZ8,0))/(0.03125),0)*(1/32))/(1/(32*8)),0)</f>
        <v>100-056</v>
      </c>
      <c r="BF8" s="4">
        <f ca="1">MIN(AT8,AY8)</f>
        <v>100.078125</v>
      </c>
      <c r="BG8" s="4">
        <f ca="1">MAX(AU8,AZ8)</f>
        <v>100.1796875</v>
      </c>
      <c r="BH8" s="26">
        <f>+B8</f>
        <v>0.125</v>
      </c>
      <c r="BI8" s="17">
        <f>+C8</f>
        <v>45762</v>
      </c>
      <c r="BJ8" s="34" t="str">
        <f t="shared" ref="BJ8" ca="1" si="11">TEXT(ROUNDDOWN(BF8,0),"00")&amp;"-"&amp;TEXT(ROUNDDOWN((BF8-ROUNDDOWN(BF8,0))/(1/32),0),"00")&amp;ROUND(((BF8-ROUNDDOWN(BF8,0))-ROUNDDOWN((BF8-ROUNDDOWN(BF8,0))/(0.03125),0)*(1/32))/(1/(32*8)),0)</f>
        <v>100-024</v>
      </c>
      <c r="BK8" s="35" t="str">
        <f t="shared" ref="BK8" ca="1" si="12">TEXT(ROUNDDOWN(BG8,0),"00")&amp;"-"&amp;TEXT(ROUNDDOWN((BG8-ROUNDDOWN(BG8,0))/(1/32),0),"00")&amp;ROUND(((BG8-ROUNDDOWN(BG8,0))-ROUNDDOWN((BG8-ROUNDDOWN(BG8,0))/(0.03125),0)*(1/32))/(1/(32*8)),0)</f>
        <v>100-056</v>
      </c>
      <c r="BL8" s="18">
        <v>100</v>
      </c>
      <c r="BM8" s="19"/>
      <c r="BN8" s="11"/>
      <c r="BO8" s="14"/>
      <c r="BP8" s="14"/>
      <c r="BQ8" s="11"/>
      <c r="BR8" s="14"/>
      <c r="BS8" s="14"/>
      <c r="BT8" s="14"/>
      <c r="BU8" s="11"/>
      <c r="BV8" s="14"/>
      <c r="BW8" s="16"/>
      <c r="BX8" s="16"/>
      <c r="BY8" s="11"/>
      <c r="BZ8" s="11"/>
      <c r="CA8" s="11"/>
      <c r="CB8" s="11"/>
      <c r="CC8" s="11"/>
    </row>
    <row r="9" spans="1:82" x14ac:dyDescent="0.25">
      <c r="A9" s="19" t="s">
        <v>79</v>
      </c>
      <c r="B9" s="11" cm="1">
        <f t="array" ref="B9">_xll.BDP(A9&amp;" Govt","COUPON")</f>
        <v>0.375</v>
      </c>
      <c r="C9" s="17" cm="1">
        <f t="array" ref="C9">DATEVALUE(_xll.BDP(A9&amp;" Govt","MATURITY"))</f>
        <v>45853</v>
      </c>
      <c r="D9" s="15" cm="1">
        <f t="array" aca="1" ref="D9" ca="1">_xll.BDH(A9&amp;"@BVN4 CUSIP","PX_MID",$A$1,$A$1)</f>
        <v>100.166015625</v>
      </c>
      <c r="E9" s="15" t="str">
        <f t="shared" ref="E9:E60" ca="1" si="13">TEXT(ROUNDDOWN(D9,0),"00")&amp;"-"&amp;TEXT(ROUNDDOWN((D9-ROUNDDOWN(D9,0))/(1/32),0),"00")&amp;ROUND(((D9-ROUNDDOWN(D9,0))-ROUNDDOWN((D9-ROUNDDOWN(D9,0))/(0.03125),0)*(1/32))/(1/(32*8)),0)</f>
        <v>100-053</v>
      </c>
      <c r="F9" s="15" cm="1">
        <f t="array" aca="1" ref="F9" ca="1">_xll.BDP(A9&amp;" Govt","YAS_BOND_YLD","YAS_BOND_PX",D9,"SETTLE_DT",$A$2)</f>
        <v>-0.156468</v>
      </c>
      <c r="G9" s="15" cm="1">
        <f t="array" aca="1" ref="G9" ca="1">_xll.BDP(A9&amp;" Govt","REPO_FORWARD_PRICE","REPO_TERM_DATE",$A$4,"PX_ASK="&amp;D9,"SETTLE_DT",$A$2,"REPO_REPORATE="&amp;$A$5)</f>
        <v>100.15606481479763</v>
      </c>
      <c r="H9" s="15" cm="1">
        <f t="array" aca="1" ref="H9" ca="1">_xll.BDP(A9&amp;" Govt","YAS_BOND_YLD","YAS_BOND_PX",G9,"SETTLE_DT",$A$4)</f>
        <v>-0.12912999999999999</v>
      </c>
      <c r="I9" s="11"/>
      <c r="J9" s="11" t="str">
        <f>+VLOOKUP(A9,mapping!$A:$B,2,FALSE)</f>
        <v>912828K74</v>
      </c>
      <c r="K9" s="11" cm="1">
        <f t="array" ref="K9">_xll.BDP(J9&amp;" Govt","COUPON")</f>
        <v>2</v>
      </c>
      <c r="L9" s="17" cm="1">
        <f t="array" ref="L9">DATEVALUE(_xll.BDP(J9&amp;" Govt","MATURITY"))</f>
        <v>45884</v>
      </c>
      <c r="M9" s="15" cm="1">
        <f t="array" aca="1" ref="M9" ca="1">_xll.BDH(J9&amp;"@BVN4 CUSIP","PX_MID",$A$1,$A$1)</f>
        <v>99.10546875</v>
      </c>
      <c r="N9" s="15" t="str">
        <f t="shared" ref="N9:N60" ca="1" si="14">TEXT(ROUNDDOWN(M9,0),"00")&amp;"-"&amp;TEXT(ROUNDDOWN((M9-ROUNDDOWN(M9,0))/(1/32),0),"00")&amp;ROUND(((M9-ROUNDDOWN(M9,0))-ROUNDDOWN((M9-ROUNDDOWN(M9,0))/(0.03125),0)*(1/32))/(1/(32*8)),0)</f>
        <v>99-033</v>
      </c>
      <c r="O9" s="15" cm="1">
        <f t="array" aca="1" ref="O9" ca="1">_xll.BDP(J9&amp;" Govt","YAS_BOND_YLD","YAS_BOND_PX",M9,"SETTLE_DT",$A$2)</f>
        <v>4.2782770000000001</v>
      </c>
      <c r="P9" s="15" cm="1">
        <f t="array" aca="1" ref="P9" ca="1">_xll.BDP(J9&amp;" Govt","REPO_FORWARD_PRICE","REPO_TERM_DATE",$A$4,"PX_ASK="&amp;M9,"SETTLE_DT",$A$2,"REPO_REPORATE="&amp;$A$5)</f>
        <v>99.111902453878542</v>
      </c>
      <c r="Q9" s="15" cm="1">
        <f t="array" aca="1" ref="Q9" ca="1">_xll.BDP(J9&amp;" Govt","YAS_BOND_YLD","YAS_BOND_PX",P9,"SETTLE_DT",$A$4)</f>
        <v>4.2771970000000001</v>
      </c>
      <c r="R9" s="11"/>
      <c r="S9" s="22">
        <f t="shared" ref="S9:S60" ca="1" si="15">100*(O9-F9)</f>
        <v>443.47450000000003</v>
      </c>
      <c r="T9" s="22">
        <f t="shared" ref="T9:T60" ca="1" si="16">100*(Q9-H9)</f>
        <v>440.6327</v>
      </c>
      <c r="U9" s="15" cm="1">
        <f t="array" ref="U9">_xll.BDP($A9&amp;" Govt","BASE_CPI")</f>
        <v>237.14365000000001</v>
      </c>
      <c r="V9" s="15">
        <f t="shared" ref="V9:V60" ca="1" si="17">ROUND($V$2/U9,5)</f>
        <v>1.3375999999999999</v>
      </c>
      <c r="W9" s="14" cm="1">
        <f t="array" ref="W9">_xll.BDP($A9&amp;" Govt","YAS_RISK","YIELD_BETA_ASSUMPTION=1",)</f>
        <v>0.41613960257985444</v>
      </c>
      <c r="X9" s="15">
        <f t="shared" ref="X9:X60" ca="1" si="18">+(0.1/U9)*100*(D9/W9)</f>
        <v>10.150089010172978</v>
      </c>
      <c r="Y9" s="15">
        <f t="shared" ca="1" si="1"/>
        <v>3.4832060456210612</v>
      </c>
      <c r="Z9" s="15">
        <f t="shared" ca="1" si="2"/>
        <v>-1.0781352045969574</v>
      </c>
      <c r="AA9" s="14">
        <f t="shared" ca="1" si="3"/>
        <v>30.197916240176976</v>
      </c>
      <c r="AB9" s="15" cm="1">
        <f t="array" ref="AB9">_xll.BDP(J9&amp;" Govt","YLD_YTM_MID")</f>
        <v>4.2732489454441662</v>
      </c>
      <c r="AC9" s="19">
        <v>1</v>
      </c>
      <c r="AD9" s="14">
        <f t="shared" ca="1" si="4"/>
        <v>0</v>
      </c>
      <c r="AE9" s="22">
        <f t="shared" ca="1" si="5"/>
        <v>439.55456479540305</v>
      </c>
      <c r="AF9" s="22" cm="1">
        <f t="array" ref="AF9">(AB9-_xll.BDP(A9&amp;" Govt","YLD_YTM_MID"))*100</f>
        <v>444.84328521559348</v>
      </c>
      <c r="AG9" s="22">
        <f t="shared" ca="1" si="6"/>
        <v>5.2887204201904296</v>
      </c>
      <c r="AI9" s="12">
        <v>1.25</v>
      </c>
      <c r="AJ9" s="12">
        <v>1.25</v>
      </c>
      <c r="AL9" s="13">
        <v>0</v>
      </c>
      <c r="AM9" s="13">
        <v>0</v>
      </c>
      <c r="AO9" s="14">
        <f t="shared" ref="AO9:AP60" ca="1" si="19">+(AI9+AL9)/32*$V9/$W9*100</f>
        <v>12.555882611526636</v>
      </c>
      <c r="AP9" s="14">
        <f t="shared" ca="1" si="19"/>
        <v>12.555882611526636</v>
      </c>
      <c r="AR9" s="5">
        <f t="shared" ca="1" si="7"/>
        <v>3.262123605402345E-3</v>
      </c>
      <c r="AS9" s="5">
        <f t="shared" ca="1" si="8"/>
        <v>-0.24785552862513038</v>
      </c>
      <c r="AT9" cm="1">
        <f t="array" aca="1" ref="AT9" ca="1">_xll.BDP($A9&amp;" Govt","YAS_BOND_PX","YAS_BOND_YLD",AR9,"SETTLE_DT",$A$4)</f>
        <v>100.11501094144913</v>
      </c>
      <c r="AU9" cm="1">
        <f t="array" aca="1" ref="AU9" ca="1">_xll.BDP($A9&amp;" Govt","YAS_BOND_PX","YAS_BOND_YLD",AS9,"SETTLE_DT",$A$4)</f>
        <v>100.19290942721051</v>
      </c>
      <c r="AV9" s="15" t="str">
        <f t="shared" ca="1" si="9"/>
        <v>100-035</v>
      </c>
      <c r="AW9" s="15" t="str">
        <f t="shared" ca="1" si="10"/>
        <v>100-061</v>
      </c>
      <c r="AY9" cm="1">
        <f t="array" ref="AY9">_xll.BDP($A9&amp;" Govt","CBBT_PX_BID")</f>
        <v>100.125</v>
      </c>
      <c r="AZ9" cm="1">
        <f t="array" ref="AZ9">_xll.BDP($A9&amp;" Govt","CBBT_PX_ASK")</f>
        <v>100.21875</v>
      </c>
      <c r="BA9">
        <f t="shared" ref="BA9:BA60" si="20">AVERAGE(AY9:AZ9)</f>
        <v>100.171875</v>
      </c>
      <c r="BB9" cm="1">
        <f t="array" aca="1" ref="BB9" ca="1">_xll.BDP(A9&amp;" Govt","YAS_BOND_YLD","YAS_BOND_PX",BA9,"SETTLE_DT",$A$4)</f>
        <v>-0.180086</v>
      </c>
      <c r="BC9" s="15" t="str">
        <f t="shared" ref="BC9:BC60" si="21">TEXT(ROUNDDOWN(AY9,0),"00")&amp;"-"&amp;TEXT(ROUNDDOWN((AY9-ROUNDDOWN(AY9,0))/(1/32),0),"00")&amp;ROUND(((AY9-ROUNDDOWN(AY9,0))-ROUNDDOWN((AY9-ROUNDDOWN(AY9,0))/(0.03125),0)*(1/32))/(1/(32*8)),0)</f>
        <v>100-040</v>
      </c>
      <c r="BD9" s="15" t="str">
        <f t="shared" ref="BD9:BD60" si="22">TEXT(ROUNDDOWN(AZ9,0),"00")&amp;"-"&amp;TEXT(ROUNDDOWN((AZ9-ROUNDDOWN(AZ9,0))/(1/32),0),"00")&amp;ROUND(((AZ9-ROUNDDOWN(AZ9,0))-ROUNDDOWN((AZ9-ROUNDDOWN(AZ9,0))/(0.03125),0)*(1/32))/(1/(32*8)),0)</f>
        <v>100-070</v>
      </c>
      <c r="BF9" s="4">
        <f t="shared" ref="BF9:BF60" ca="1" si="23">MIN(AT9,AY9)</f>
        <v>100.11501094144913</v>
      </c>
      <c r="BG9" s="4">
        <f t="shared" ref="BG9:BG60" ca="1" si="24">MAX(AU9,AZ9)</f>
        <v>100.21875</v>
      </c>
      <c r="BH9" s="26">
        <f t="shared" ref="BH9:BH60" si="25">+B9</f>
        <v>0.375</v>
      </c>
      <c r="BI9" s="17">
        <f t="shared" ref="BI9:BI60" si="26">+C9</f>
        <v>45853</v>
      </c>
      <c r="BJ9" s="34" t="str">
        <f t="shared" ref="BJ9:BJ60" ca="1" si="27">TEXT(ROUNDDOWN(BF9,0),"00")&amp;"-"&amp;TEXT(ROUNDDOWN((BF9-ROUNDDOWN(BF9,0))/(1/32),0),"00")&amp;ROUND(((BF9-ROUNDDOWN(BF9,0))-ROUNDDOWN((BF9-ROUNDDOWN(BF9,0))/(0.03125),0)*(1/32))/(1/(32*8)),0)</f>
        <v>100-035</v>
      </c>
      <c r="BK9" s="35" t="str">
        <f t="shared" ref="BK9:BK60" ca="1" si="28">TEXT(ROUNDDOWN(BG9,0),"00")&amp;"-"&amp;TEXT(ROUNDDOWN((BG9-ROUNDDOWN(BG9,0))/(1/32),0),"00")&amp;ROUND(((BG9-ROUNDDOWN(BG9,0))-ROUNDDOWN((BG9-ROUNDDOWN(BG9,0))/(0.03125),0)*(1/32))/(1/(32*8)),0)</f>
        <v>100-070</v>
      </c>
      <c r="BL9" s="18">
        <v>100</v>
      </c>
      <c r="BM9" s="19"/>
      <c r="BN9" s="11"/>
      <c r="BO9" s="14"/>
      <c r="BP9" s="14"/>
      <c r="BQ9" s="11"/>
      <c r="BR9" s="14"/>
      <c r="BS9" s="14"/>
      <c r="BT9" s="14"/>
      <c r="BU9" s="11"/>
      <c r="BV9" s="14"/>
      <c r="BW9" s="16"/>
      <c r="BX9" s="16"/>
      <c r="BY9" s="11"/>
      <c r="BZ9" s="11"/>
      <c r="CA9" s="11"/>
      <c r="CB9" s="11"/>
      <c r="CC9" s="11"/>
    </row>
    <row r="10" spans="1:82" x14ac:dyDescent="0.25">
      <c r="A10" s="19" t="s">
        <v>45</v>
      </c>
      <c r="B10" s="11" cm="1">
        <f t="array" ref="B10">_xll.BDP(A10&amp;" Govt","COUPON")</f>
        <v>0.125</v>
      </c>
      <c r="C10" s="17" cm="1">
        <f t="array" ref="C10">DATEVALUE(_xll.BDP(A10&amp;" Govt","MATURITY"))</f>
        <v>45945</v>
      </c>
      <c r="D10" s="15" cm="1">
        <f t="array" aca="1" ref="D10" ca="1">_xll.BDH(A10&amp;"@BVN4 CUSIP","PX_MID",$A$1,$A$1)</f>
        <v>99.87109375</v>
      </c>
      <c r="E10" s="15" t="str">
        <f t="shared" ca="1" si="13"/>
        <v>99-277</v>
      </c>
      <c r="F10" s="15" cm="1">
        <f t="array" aca="1" ref="F10" ca="1">_xll.BDP(A10&amp;" Govt","YAS_BOND_YLD","YAS_BOND_PX",D10,"SETTLE_DT",$A$2)</f>
        <v>0.35543200000000003</v>
      </c>
      <c r="G10" s="15" cm="1">
        <f t="array" aca="1" ref="G10" ca="1">_xll.BDP(A10&amp;" Govt","REPO_FORWARD_PRICE","REPO_TERM_DATE",$A$4,"PX_ASK="&amp;D10,"SETTLE_DT",$A$2,"REPO_REPORATE="&amp;$A$5)</f>
        <v>99.861528554987103</v>
      </c>
      <c r="H10" s="15" cm="1">
        <f t="array" aca="1" ref="H10" ca="1">_xll.BDP(A10&amp;" Govt","YAS_BOND_YLD","YAS_BOND_PX",G10,"SETTLE_DT",$A$4)</f>
        <v>0.373774</v>
      </c>
      <c r="I10" s="11"/>
      <c r="J10" s="11" t="str">
        <f>+VLOOKUP(A10,mapping!$A:$B,2,FALSE)</f>
        <v>91282CAT8</v>
      </c>
      <c r="K10" s="11" cm="1">
        <f t="array" ref="K10">_xll.BDP(J10&amp;" Govt","COUPON")</f>
        <v>0.25</v>
      </c>
      <c r="L10" s="17" cm="1">
        <f t="array" ref="L10">DATEVALUE(_xll.BDP(J10&amp;" Govt","MATURITY"))</f>
        <v>45961</v>
      </c>
      <c r="M10" s="15" cm="1">
        <f t="array" aca="1" ref="M10" ca="1">_xll.BDH(J10&amp;"@BVN4 CUSIP","PX_MID",$A$1,$A$1)</f>
        <v>97.68359375</v>
      </c>
      <c r="N10" s="15" t="str">
        <f t="shared" ca="1" si="14"/>
        <v>97-217</v>
      </c>
      <c r="O10" s="15" cm="1">
        <f t="array" aca="1" ref="O10" ca="1">_xll.BDP(J10&amp;" Govt","YAS_BOND_YLD","YAS_BOND_PX",M10,"SETTLE_DT",$A$2)</f>
        <v>4.1849270000000001</v>
      </c>
      <c r="P10" s="15" cm="1">
        <f t="array" aca="1" ref="P10" ca="1">_xll.BDP(J10&amp;" Govt","REPO_FORWARD_PRICE","REPO_TERM_DATE",$A$4,"PX_ASK="&amp;M10,"SETTLE_DT",$A$2,"REPO_REPORATE="&amp;$A$5)</f>
        <v>97.694677850150697</v>
      </c>
      <c r="Q10" s="15" cm="1">
        <f t="array" aca="1" ref="Q10" ca="1">_xll.BDP(J10&amp;" Govt","YAS_BOND_YLD","YAS_BOND_PX",P10,"SETTLE_DT",$A$4)</f>
        <v>4.1839050000000002</v>
      </c>
      <c r="R10" s="11"/>
      <c r="S10" s="22">
        <f t="shared" ca="1" si="15"/>
        <v>382.9495</v>
      </c>
      <c r="T10" s="22">
        <f t="shared" ca="1" si="16"/>
        <v>381.01310000000001</v>
      </c>
      <c r="U10" s="15" cm="1">
        <f t="array" ref="U10">_xll.BDP($A10&amp;" Govt","BASE_CPI")</f>
        <v>259.46996999999999</v>
      </c>
      <c r="V10" s="15">
        <f t="shared" ca="1" si="17"/>
        <v>1.22251</v>
      </c>
      <c r="W10" s="14" cm="1">
        <f t="array" ref="W10">_xll.BDP($A10&amp;" Govt","YAS_RISK","YIELD_BETA_ASSUMPTION=1",)</f>
        <v>0.67917586888943227</v>
      </c>
      <c r="X10" s="15">
        <f t="shared" ca="1" si="18"/>
        <v>5.6672250280865164</v>
      </c>
      <c r="Y10" s="15">
        <f t="shared" ca="1" si="1"/>
        <v>1.9448216128884499</v>
      </c>
      <c r="Z10" s="15">
        <f t="shared" ca="1" si="2"/>
        <v>-0.60196859446545159</v>
      </c>
      <c r="AA10" s="14">
        <f t="shared" ca="1" si="3"/>
        <v>27.518248099342919</v>
      </c>
      <c r="AB10" s="15" cm="1">
        <f t="array" ref="AB10">_xll.BDP(J10&amp;" Govt","YLD_YTM_MID")</f>
        <v>4.1578128000000003</v>
      </c>
      <c r="AC10" s="19">
        <v>1</v>
      </c>
      <c r="AD10" s="14">
        <f t="shared" ca="1" si="4"/>
        <v>0</v>
      </c>
      <c r="AE10" s="22">
        <f t="shared" ca="1" si="5"/>
        <v>380.41113140553455</v>
      </c>
      <c r="AF10" s="22" cm="1">
        <f t="array" ref="AF10">(AB10-_xll.BDP(A10&amp;" Govt","YLD_YTM_MID"))*100</f>
        <v>380.2380667874736</v>
      </c>
      <c r="AG10" s="22">
        <f t="shared" ca="1" si="6"/>
        <v>-0.17306461806094831</v>
      </c>
      <c r="AI10" s="12">
        <v>1.5</v>
      </c>
      <c r="AJ10" s="12">
        <v>1.5</v>
      </c>
      <c r="AL10" s="13">
        <v>0</v>
      </c>
      <c r="AM10" s="13">
        <v>0</v>
      </c>
      <c r="AO10" s="14">
        <f t="shared" ca="1" si="19"/>
        <v>8.4374546969260926</v>
      </c>
      <c r="AP10" s="14">
        <f t="shared" ca="1" si="19"/>
        <v>8.4374546969260926</v>
      </c>
      <c r="AR10" s="5">
        <f t="shared" ca="1" si="7"/>
        <v>0.43807603291391572</v>
      </c>
      <c r="AS10" s="5">
        <f t="shared" ca="1" si="8"/>
        <v>0.26932693897539384</v>
      </c>
      <c r="AT10" cm="1">
        <f t="array" aca="1" ref="AT10" ca="1">_xll.BDP($A10&amp;" Govt","YAS_BOND_PX","YAS_BOND_YLD",AR10,"SETTLE_DT",$A$4)</f>
        <v>99.82579651014521</v>
      </c>
      <c r="AU10" cm="1">
        <f t="array" aca="1" ref="AU10" ca="1">_xll.BDP($A10&amp;" Govt","YAS_BOND_PX","YAS_BOND_YLD",AS10,"SETTLE_DT",$A$4)</f>
        <v>99.919620166969622</v>
      </c>
      <c r="AV10" s="15" t="str">
        <f t="shared" ca="1" si="9"/>
        <v>99-263</v>
      </c>
      <c r="AW10" s="15" t="str">
        <f t="shared" ca="1" si="10"/>
        <v>99-293</v>
      </c>
      <c r="AY10" cm="1">
        <f t="array" ref="AY10">_xll.BDP($A10&amp;" Govt","CBBT_PX_BID")</f>
        <v>99.8203125</v>
      </c>
      <c r="AZ10" cm="1">
        <f t="array" ref="AZ10">_xll.BDP($A10&amp;" Govt","CBBT_PX_ASK")</f>
        <v>99.921875</v>
      </c>
      <c r="BA10">
        <f t="shared" si="20"/>
        <v>99.87109375</v>
      </c>
      <c r="BB10" cm="1">
        <f t="array" aca="1" ref="BB10" ca="1">_xll.BDP(A10&amp;" Govt","YAS_BOND_YLD","YAS_BOND_PX",BA10,"SETTLE_DT",$A$4)</f>
        <v>0.356568</v>
      </c>
      <c r="BC10" s="15" t="str">
        <f t="shared" si="21"/>
        <v>99-262</v>
      </c>
      <c r="BD10" s="15" t="str">
        <f t="shared" si="22"/>
        <v>99-294</v>
      </c>
      <c r="BF10" s="4">
        <f t="shared" ca="1" si="23"/>
        <v>99.8203125</v>
      </c>
      <c r="BG10" s="4">
        <f t="shared" ca="1" si="24"/>
        <v>99.921875</v>
      </c>
      <c r="BH10" s="26">
        <f t="shared" si="25"/>
        <v>0.125</v>
      </c>
      <c r="BI10" s="17">
        <f t="shared" si="26"/>
        <v>45945</v>
      </c>
      <c r="BJ10" s="34" t="str">
        <f t="shared" ca="1" si="27"/>
        <v>99-262</v>
      </c>
      <c r="BK10" s="35" t="str">
        <f t="shared" ca="1" si="28"/>
        <v>99-294</v>
      </c>
      <c r="BL10" s="18">
        <v>100</v>
      </c>
      <c r="BM10" s="19"/>
      <c r="BN10" s="11"/>
      <c r="BO10" s="14"/>
      <c r="BP10" s="14"/>
      <c r="BQ10" s="11"/>
      <c r="BR10" s="14"/>
      <c r="BS10" s="14"/>
      <c r="BT10" s="14"/>
      <c r="BU10" s="11"/>
      <c r="BV10" s="14"/>
      <c r="BW10" s="20">
        <v>1</v>
      </c>
      <c r="BX10" s="16"/>
      <c r="BY10" s="11"/>
      <c r="BZ10" s="19" t="s">
        <v>152</v>
      </c>
      <c r="CA10" s="11"/>
      <c r="CB10" s="21">
        <f t="shared" ref="CB10:CB41" si="29">(BL10*W10/10*AC10*BW10)/(VLOOKUP(BZ10,$BL$1:$BM$5,2,FALSE)/10)</f>
        <v>36.740247964435454</v>
      </c>
      <c r="CC10" s="21" t="str">
        <f t="shared" ref="CC10:CC41" si="30">IF(BW10=1,"--",(BL10*W10/10*AC10*BX10)/(VLOOKUP(CA10,$BL$1:$BM$5,2,FALSE)/10))</f>
        <v>--</v>
      </c>
      <c r="CD10" t="str">
        <f>IF(BW10=1,"",(BL10*W10/10*AC10*BX10)/(VLOOKUP(CA10,$BL$1:$BM$5,2,FALSE)/10))</f>
        <v/>
      </c>
    </row>
    <row r="11" spans="1:82" x14ac:dyDescent="0.25">
      <c r="A11" s="19" t="s">
        <v>77</v>
      </c>
      <c r="B11" s="11" cm="1">
        <f t="array" ref="B11">_xll.BDP(A11&amp;" Govt","COUPON")</f>
        <v>0.625</v>
      </c>
      <c r="C11" s="17" cm="1">
        <f t="array" ref="C11">DATEVALUE(_xll.BDP(A11&amp;" Govt","MATURITY"))</f>
        <v>46037</v>
      </c>
      <c r="D11" s="15" cm="1">
        <f t="array" aca="1" ref="D11" ca="1">_xll.BDH(A11&amp;"@BVN4 CUSIP","PX_MID",$A$1,$A$1)</f>
        <v>99.6796875</v>
      </c>
      <c r="E11" s="15" t="str">
        <f t="shared" ca="1" si="13"/>
        <v>99-216</v>
      </c>
      <c r="F11" s="15" cm="1">
        <f t="array" aca="1" ref="F11" ca="1">_xll.BDP(A11&amp;" Govt","YAS_BOND_YLD","YAS_BOND_PX",D11,"SETTLE_DT",$A$2)</f>
        <v>1.0218119999999999</v>
      </c>
      <c r="G11" s="15" cm="1">
        <f t="array" aca="1" ref="G11" ca="1">_xll.BDP(A11&amp;" Govt","REPO_FORWARD_PRICE","REPO_TERM_DATE",$A$4,"PX_ASK="&amp;D11,"SETTLE_DT",$A$2,"REPO_REPORATE="&amp;$A$5)</f>
        <v>99.669043997741923</v>
      </c>
      <c r="H11" s="15" cm="1">
        <f t="array" aca="1" ref="H11" ca="1">_xll.BDP(A11&amp;" Govt","YAS_BOND_YLD","YAS_BOND_PX",G11,"SETTLE_DT",$A$4)</f>
        <v>1.0364340000000001</v>
      </c>
      <c r="I11" s="11"/>
      <c r="J11" s="11" t="str">
        <f>+VLOOKUP(A11,mapping!$A:$B,2,FALSE)</f>
        <v>912828P46</v>
      </c>
      <c r="K11" s="11" cm="1">
        <f t="array" ref="K11">_xll.BDP(J11&amp;" Govt","COUPON")</f>
        <v>1.625</v>
      </c>
      <c r="L11" s="17" cm="1">
        <f t="array" ref="L11">DATEVALUE(_xll.BDP(J11&amp;" Govt","MATURITY"))</f>
        <v>46068</v>
      </c>
      <c r="M11" s="15" cm="1">
        <f t="array" aca="1" ref="M11" ca="1">_xll.BDH(J11&amp;"@BVN4 CUSIP","PX_MID",$A$1,$A$1)</f>
        <v>97.818359375</v>
      </c>
      <c r="N11" s="15" t="str">
        <f t="shared" ca="1" si="14"/>
        <v>97-262</v>
      </c>
      <c r="O11" s="15" cm="1">
        <f t="array" aca="1" ref="O11" ca="1">_xll.BDP(J11&amp;" Govt","YAS_BOND_YLD","YAS_BOND_PX",M11,"SETTLE_DT",$A$2)</f>
        <v>4.1236930000000003</v>
      </c>
      <c r="P11" s="15" cm="1">
        <f t="array" aca="1" ref="P11" ca="1">_xll.BDP(J11&amp;" Govt","REPO_FORWARD_PRICE","REPO_TERM_DATE",$A$4,"PX_ASK="&amp;M11,"SETTLE_DT",$A$2,"REPO_REPORATE="&amp;$A$5)</f>
        <v>97.825669385642371</v>
      </c>
      <c r="Q11" s="15" cm="1">
        <f t="array" aca="1" ref="Q11" ca="1">_xll.BDP(J11&amp;" Govt","YAS_BOND_YLD","YAS_BOND_PX",P11,"SETTLE_DT",$A$4)</f>
        <v>4.1228160000000003</v>
      </c>
      <c r="R11" s="11"/>
      <c r="S11" s="22">
        <f t="shared" ca="1" si="15"/>
        <v>310.18810000000008</v>
      </c>
      <c r="T11" s="22">
        <f t="shared" ca="1" si="16"/>
        <v>308.63820000000004</v>
      </c>
      <c r="U11" s="15" cm="1">
        <f t="array" ref="U11">_xll.BDP($A11&amp;" Govt","BASE_CPI")</f>
        <v>237.61129</v>
      </c>
      <c r="V11" s="15">
        <f t="shared" ca="1" si="17"/>
        <v>1.33497</v>
      </c>
      <c r="W11" s="14" cm="1">
        <f t="array" ref="W11">_xll.BDP($A11&amp;" Govt","YAS_RISK","YIELD_BETA_ASSUMPTION=1",)</f>
        <v>1.0700917605434961</v>
      </c>
      <c r="X11" s="15">
        <f t="shared" ca="1" si="18"/>
        <v>3.9202934374276874</v>
      </c>
      <c r="Y11" s="15">
        <f t="shared" ca="1" si="1"/>
        <v>1.3453270989220596</v>
      </c>
      <c r="Z11" s="15">
        <f t="shared" ca="1" si="2"/>
        <v>-0.41641076871395627</v>
      </c>
      <c r="AA11" s="14">
        <f t="shared" ca="1" si="3"/>
        <v>29.992155079007933</v>
      </c>
      <c r="AB11" s="15" cm="1">
        <f t="array" ref="AB11">_xll.BDP(J11&amp;" Govt","YLD_YTM_MID")</f>
        <v>4.1191404</v>
      </c>
      <c r="AC11" s="19">
        <v>1</v>
      </c>
      <c r="AD11" s="14">
        <f t="shared" ca="1" si="4"/>
        <v>0</v>
      </c>
      <c r="AE11" s="22">
        <f t="shared" ca="1" si="5"/>
        <v>308.2217892312861</v>
      </c>
      <c r="AF11" s="22" cm="1">
        <f t="array" ref="AF11">(AB11-_xll.BDP(A11&amp;" Govt","YLD_YTM_MID"))*100</f>
        <v>309.24744449982916</v>
      </c>
      <c r="AG11" s="22">
        <f t="shared" ca="1" si="6"/>
        <v>1.025655268543062</v>
      </c>
      <c r="AI11" s="12">
        <v>1.5</v>
      </c>
      <c r="AJ11" s="12">
        <v>1.5</v>
      </c>
      <c r="AL11" s="13">
        <v>0</v>
      </c>
      <c r="AM11" s="13">
        <v>0</v>
      </c>
      <c r="AO11" s="14">
        <f t="shared" ca="1" si="19"/>
        <v>5.8477899800123208</v>
      </c>
      <c r="AP11" s="14">
        <f t="shared" ca="1" si="19"/>
        <v>5.8477899800123208</v>
      </c>
      <c r="AR11" s="5">
        <f t="shared" ca="1" si="7"/>
        <v>1.0954004074872623</v>
      </c>
      <c r="AS11" s="5">
        <f t="shared" ca="1" si="8"/>
        <v>0.97844460788701593</v>
      </c>
      <c r="AT11" cm="1">
        <f t="array" aca="1" ref="AT11" ca="1">_xll.BDP($A11&amp;" Govt","YAS_BOND_PX","YAS_BOND_YLD",AR11,"SETTLE_DT",$A$4)</f>
        <v>99.621772829104316</v>
      </c>
      <c r="AU11" cm="1">
        <f t="array" aca="1" ref="AU11" ca="1">_xll.BDP($A11&amp;" Govt","YAS_BOND_PX","YAS_BOND_YLD",AS11,"SETTLE_DT",$A$4)</f>
        <v>99.715566624700699</v>
      </c>
      <c r="AV11" s="15" t="str">
        <f t="shared" ca="1" si="9"/>
        <v>99-197</v>
      </c>
      <c r="AW11" s="15" t="str">
        <f t="shared" ca="1" si="10"/>
        <v>99-227</v>
      </c>
      <c r="AY11" cm="1">
        <f t="array" ref="AY11">_xll.BDP($A11&amp;" Govt","CBBT_PX_BID")</f>
        <v>99.6328125</v>
      </c>
      <c r="AZ11" cm="1">
        <f t="array" ref="AZ11">_xll.BDP($A11&amp;" Govt","CBBT_PX_ASK")</f>
        <v>99.71875</v>
      </c>
      <c r="BA11">
        <f t="shared" si="20"/>
        <v>99.67578125</v>
      </c>
      <c r="BB11" cm="1">
        <f t="array" aca="1" ref="BB11" ca="1">_xll.BDP(A11&amp;" Govt","YAS_BOND_YLD","YAS_BOND_PX",BA11,"SETTLE_DT",$A$4)</f>
        <v>1.028033</v>
      </c>
      <c r="BC11" s="15" t="str">
        <f t="shared" si="21"/>
        <v>99-202</v>
      </c>
      <c r="BD11" s="15" t="str">
        <f t="shared" si="22"/>
        <v>99-230</v>
      </c>
      <c r="BF11" s="4">
        <f t="shared" ca="1" si="23"/>
        <v>99.621772829104316</v>
      </c>
      <c r="BG11" s="4">
        <f t="shared" ca="1" si="24"/>
        <v>99.71875</v>
      </c>
      <c r="BH11" s="26">
        <f t="shared" si="25"/>
        <v>0.625</v>
      </c>
      <c r="BI11" s="17">
        <f t="shared" si="26"/>
        <v>46037</v>
      </c>
      <c r="BJ11" s="34" t="str">
        <f t="shared" ca="1" si="27"/>
        <v>99-197</v>
      </c>
      <c r="BK11" s="35" t="str">
        <f t="shared" ca="1" si="28"/>
        <v>99-230</v>
      </c>
      <c r="BL11" s="18">
        <v>100</v>
      </c>
      <c r="BM11" s="19"/>
      <c r="BN11" s="11"/>
      <c r="BO11" s="14"/>
      <c r="BP11" s="14"/>
      <c r="BQ11" s="11"/>
      <c r="BR11" s="14"/>
      <c r="BS11" s="14"/>
      <c r="BT11" s="14"/>
      <c r="BU11" s="11"/>
      <c r="BV11" s="14"/>
      <c r="BW11" s="20">
        <v>1</v>
      </c>
      <c r="BX11" s="16"/>
      <c r="BY11" s="11"/>
      <c r="BZ11" s="19" t="s">
        <v>152</v>
      </c>
      <c r="CA11" s="11"/>
      <c r="CB11" s="21">
        <f t="shared" si="29"/>
        <v>57.886975123769858</v>
      </c>
      <c r="CC11" s="21" t="str">
        <f t="shared" si="30"/>
        <v>--</v>
      </c>
    </row>
    <row r="12" spans="1:82" x14ac:dyDescent="0.25">
      <c r="A12" s="19" t="s">
        <v>97</v>
      </c>
      <c r="B12" s="11" cm="1">
        <f t="array" ref="B12">_xll.BDP(A12&amp;" Govt","COUPON")</f>
        <v>2</v>
      </c>
      <c r="C12" s="17" cm="1">
        <f t="array" ref="C12">DATEVALUE(_xll.BDP(A12&amp;" Govt","MATURITY"))</f>
        <v>46037</v>
      </c>
      <c r="D12" s="15" cm="1">
        <f t="array" aca="1" ref="D12" ca="1">_xll.BDH(A12&amp;"@BVN4 CUSIP","PX_MID",$A$1,$A$1)</f>
        <v>100.77734375</v>
      </c>
      <c r="E12" s="15" t="str">
        <f t="shared" ca="1" si="13"/>
        <v>100-247</v>
      </c>
      <c r="F12" s="15" cm="1">
        <f t="array" aca="1" ref="F12" ca="1">_xll.BDP(A12&amp;" Govt","YAS_BOND_YLD","YAS_BOND_PX",D12,"SETTLE_DT",$A$2)</f>
        <v>1.0356049999999999</v>
      </c>
      <c r="G12" s="15" cm="1">
        <f t="array" aca="1" ref="G12" ca="1">_xll.BDP(A12&amp;" Govt","REPO_FORWARD_PRICE","REPO_TERM_DATE",$A$4,"PX_ASK="&amp;D12,"SETTLE_DT",$A$2,"REPO_REPORATE="&amp;$A$5)</f>
        <v>100.76247744447102</v>
      </c>
      <c r="H12" s="15" cm="1">
        <f t="array" aca="1" ref="H12" ca="1">_xll.BDP(A12&amp;" Govt","YAS_BOND_YLD","YAS_BOND_PX",G12,"SETTLE_DT",$A$4)</f>
        <v>1.050711</v>
      </c>
      <c r="I12" s="11"/>
      <c r="J12" s="11" t="str">
        <f>+VLOOKUP(A12,mapping!$A:$B,2,FALSE)</f>
        <v>912828P46</v>
      </c>
      <c r="K12" s="11" cm="1">
        <f t="array" ref="K12">_xll.BDP(J12&amp;" Govt","COUPON")</f>
        <v>1.625</v>
      </c>
      <c r="L12" s="17" cm="1">
        <f t="array" ref="L12">DATEVALUE(_xll.BDP(J12&amp;" Govt","MATURITY"))</f>
        <v>46068</v>
      </c>
      <c r="M12" s="15" cm="1">
        <f t="array" aca="1" ref="M12" ca="1">_xll.BDH(J12&amp;"@BVN4 CUSIP","PX_MID",$A$1,$A$1)</f>
        <v>97.818359375</v>
      </c>
      <c r="N12" s="15" t="str">
        <f t="shared" ca="1" si="14"/>
        <v>97-262</v>
      </c>
      <c r="O12" s="15" cm="1">
        <f t="array" aca="1" ref="O12" ca="1">_xll.BDP(J12&amp;" Govt","YAS_BOND_YLD","YAS_BOND_PX",M12,"SETTLE_DT",$A$2)</f>
        <v>4.1236930000000003</v>
      </c>
      <c r="P12" s="15" cm="1">
        <f t="array" aca="1" ref="P12" ca="1">_xll.BDP(J12&amp;" Govt","REPO_FORWARD_PRICE","REPO_TERM_DATE",$A$4,"PX_ASK="&amp;M12,"SETTLE_DT",$A$2,"REPO_REPORATE="&amp;$A$5)</f>
        <v>97.825669385642371</v>
      </c>
      <c r="Q12" s="15" cm="1">
        <f t="array" aca="1" ref="Q12" ca="1">_xll.BDP(J12&amp;" Govt","YAS_BOND_YLD","YAS_BOND_PX",P12,"SETTLE_DT",$A$4)</f>
        <v>4.1228160000000003</v>
      </c>
      <c r="R12" s="11"/>
      <c r="S12" s="22">
        <f t="shared" ca="1" si="15"/>
        <v>308.80880000000002</v>
      </c>
      <c r="T12" s="22">
        <f t="shared" ca="1" si="16"/>
        <v>307.21050000000002</v>
      </c>
      <c r="U12" s="15" cm="1">
        <f t="array" ref="U12">_xll.BDP($A12&amp;" Govt","BASE_CPI")</f>
        <v>198.47742</v>
      </c>
      <c r="V12" s="15">
        <f t="shared" ca="1" si="17"/>
        <v>1.59819</v>
      </c>
      <c r="W12" s="14" cm="1">
        <f t="array" ref="W12">_xll.BDP($A12&amp;" Govt","YAS_RISK","YIELD_BETA_ASSUMPTION=1",)</f>
        <v>1.293043507238957</v>
      </c>
      <c r="X12" s="15">
        <f t="shared" ca="1" si="18"/>
        <v>3.9267989245477755</v>
      </c>
      <c r="Y12" s="15">
        <f t="shared" ca="1" si="1"/>
        <v>1.3475595869370602</v>
      </c>
      <c r="Z12" s="15">
        <f t="shared" ca="1" si="2"/>
        <v>-0.41710177690907552</v>
      </c>
      <c r="AA12" s="14">
        <f t="shared" ca="1" si="3"/>
        <v>36.301107802220351</v>
      </c>
      <c r="AB12" s="15" cm="1">
        <f t="array" ref="AB12">_xll.BDP(J12&amp;" Govt","YLD_YTM_MID")</f>
        <v>4.1191404</v>
      </c>
      <c r="AC12" s="19">
        <v>1</v>
      </c>
      <c r="AD12" s="14">
        <f t="shared" ca="1" si="4"/>
        <v>0</v>
      </c>
      <c r="AE12" s="22">
        <f t="shared" ca="1" si="5"/>
        <v>306.79339822309095</v>
      </c>
      <c r="AF12" s="22" cm="1">
        <f t="array" ref="AF12">(AB12-_xll.BDP(A12&amp;" Govt","YLD_YTM_MID"))*100</f>
        <v>308.35352606970491</v>
      </c>
      <c r="AG12" s="22">
        <f t="shared" ca="1" si="6"/>
        <v>1.5601278466139661</v>
      </c>
      <c r="AI12" s="12">
        <v>1.5</v>
      </c>
      <c r="AJ12" s="12">
        <v>1.5</v>
      </c>
      <c r="AL12" s="13">
        <v>0</v>
      </c>
      <c r="AM12" s="13">
        <v>0</v>
      </c>
      <c r="AO12" s="14">
        <f t="shared" ca="1" si="19"/>
        <v>5.793707313837162</v>
      </c>
      <c r="AP12" s="14">
        <f t="shared" ca="1" si="19"/>
        <v>5.793707313837162</v>
      </c>
      <c r="AR12" s="5">
        <f t="shared" ca="1" si="7"/>
        <v>1.1091434909074622</v>
      </c>
      <c r="AS12" s="5">
        <f t="shared" ca="1" si="8"/>
        <v>0.99326934463071892</v>
      </c>
      <c r="AT12" cm="1">
        <f t="array" aca="1" ref="AT12" ca="1">_xll.BDP($A12&amp;" Govt","YAS_BOND_PX","YAS_BOND_YLD",AR12,"SETTLE_DT",$A$4)</f>
        <v>100.71519909528384</v>
      </c>
      <c r="AU12" cm="1">
        <f t="array" aca="1" ref="AU12" ca="1">_xll.BDP($A12&amp;" Govt","YAS_BOND_PX","YAS_BOND_YLD",AS12,"SETTLE_DT",$A$4)</f>
        <v>100.80898855675258</v>
      </c>
      <c r="AV12" s="15" t="str">
        <f t="shared" ca="1" si="9"/>
        <v>100-227</v>
      </c>
      <c r="AW12" s="15" t="str">
        <f t="shared" ca="1" si="10"/>
        <v>100-257</v>
      </c>
      <c r="AY12" cm="1">
        <f t="array" ref="AY12">_xll.BDP($A12&amp;" Govt","CBBT_PX_BID")</f>
        <v>100.71875</v>
      </c>
      <c r="AZ12" cm="1">
        <f t="array" ref="AZ12">_xll.BDP($A12&amp;" Govt","CBBT_PX_ASK")</f>
        <v>100.8359375</v>
      </c>
      <c r="BA12">
        <f t="shared" si="20"/>
        <v>100.77734375</v>
      </c>
      <c r="BB12" cm="1">
        <f t="array" aca="1" ref="BB12" ca="1">_xll.BDP(A12&amp;" Govt","YAS_BOND_YLD","YAS_BOND_PX",BA12,"SETTLE_DT",$A$4)</f>
        <v>1.032346</v>
      </c>
      <c r="BC12" s="15" t="str">
        <f t="shared" si="21"/>
        <v>100-230</v>
      </c>
      <c r="BD12" s="15" t="str">
        <f t="shared" si="22"/>
        <v>100-266</v>
      </c>
      <c r="BF12" s="4">
        <f t="shared" ca="1" si="23"/>
        <v>100.71519909528384</v>
      </c>
      <c r="BG12" s="4">
        <f t="shared" ca="1" si="24"/>
        <v>100.8359375</v>
      </c>
      <c r="BH12" s="26">
        <f t="shared" si="25"/>
        <v>2</v>
      </c>
      <c r="BI12" s="17">
        <f t="shared" si="26"/>
        <v>46037</v>
      </c>
      <c r="BJ12" s="34" t="str">
        <f t="shared" ca="1" si="27"/>
        <v>100-227</v>
      </c>
      <c r="BK12" s="35" t="str">
        <f t="shared" ca="1" si="28"/>
        <v>100-266</v>
      </c>
      <c r="BL12" s="18">
        <v>100</v>
      </c>
      <c r="BM12" s="19"/>
      <c r="BN12" s="11"/>
      <c r="BO12" s="14"/>
      <c r="BP12" s="14"/>
      <c r="BQ12" s="11"/>
      <c r="BR12" s="14"/>
      <c r="BS12" s="14"/>
      <c r="BT12" s="14"/>
      <c r="BU12" s="11"/>
      <c r="BV12" s="14"/>
      <c r="BW12" s="20">
        <v>1</v>
      </c>
      <c r="BX12" s="16"/>
      <c r="BY12" s="11"/>
      <c r="BZ12" s="19" t="s">
        <v>152</v>
      </c>
      <c r="CA12" s="11"/>
      <c r="CB12" s="21">
        <f t="shared" si="29"/>
        <v>69.947625145228088</v>
      </c>
      <c r="CC12" s="21" t="str">
        <f t="shared" si="30"/>
        <v>--</v>
      </c>
    </row>
    <row r="13" spans="1:82" x14ac:dyDescent="0.25">
      <c r="A13" s="19" t="s">
        <v>41</v>
      </c>
      <c r="B13" s="11" cm="1">
        <f t="array" ref="B13">_xll.BDP(A13&amp;" Govt","COUPON")</f>
        <v>0.125</v>
      </c>
      <c r="C13" s="17" cm="1">
        <f t="array" ref="C13">DATEVALUE(_xll.BDP(A13&amp;" Govt","MATURITY"))</f>
        <v>46127</v>
      </c>
      <c r="D13" s="15" cm="1">
        <f t="array" aca="1" ref="D13" ca="1">_xll.BDH(A13&amp;"@BVN4 CUSIP","PX_MID",$A$1,$A$1)</f>
        <v>98.990234375</v>
      </c>
      <c r="E13" s="15" t="str">
        <f t="shared" ca="1" si="13"/>
        <v>98-316</v>
      </c>
      <c r="F13" s="15" cm="1">
        <f t="array" aca="1" ref="F13" ca="1">_xll.BDP(A13&amp;" Govt","YAS_BOND_YLD","YAS_BOND_PX",D13,"SETTLE_DT",$A$2)</f>
        <v>1.0852679999999999</v>
      </c>
      <c r="G13" s="15" cm="1">
        <f t="array" aca="1" ref="G13" ca="1">_xll.BDP(A13&amp;" Govt","REPO_FORWARD_PRICE","REPO_TERM_DATE",$A$4,"PX_ASK="&amp;D13,"SETTLE_DT",$A$2,"REPO_REPORATE="&amp;$A$5)</f>
        <v>98.980524741900254</v>
      </c>
      <c r="H13" s="15" cm="1">
        <f t="array" aca="1" ref="H13" ca="1">_xll.BDP(A13&amp;" Govt","YAS_BOND_YLD","YAS_BOND_PX",G13,"SETTLE_DT",$A$4)</f>
        <v>1.0970949999999999</v>
      </c>
      <c r="I13" s="11"/>
      <c r="J13" s="11" t="str">
        <f>+VLOOKUP(A13,mapping!$A:$B,2,FALSE)</f>
        <v>91282CBW0</v>
      </c>
      <c r="K13" s="11" cm="1">
        <f t="array" ref="K13">_xll.BDP(J13&amp;" Govt","COUPON")</f>
        <v>0.75</v>
      </c>
      <c r="L13" s="17" cm="1">
        <f t="array" ref="L13">DATEVALUE(_xll.BDP(J13&amp;" Govt","MATURITY"))</f>
        <v>46142</v>
      </c>
      <c r="M13" s="15" cm="1">
        <f t="array" aca="1" ref="M13" ca="1">_xll.BDH(J13&amp;"@BVN4 CUSIP","PX_MID",$A$1,$A$1)</f>
        <v>96.4765625</v>
      </c>
      <c r="N13" s="15" t="str">
        <f t="shared" ca="1" si="14"/>
        <v>96-152</v>
      </c>
      <c r="O13" s="15" cm="1">
        <f t="array" aca="1" ref="O13" ca="1">_xll.BDP(J13&amp;" Govt","YAS_BOND_YLD","YAS_BOND_PX",M13,"SETTLE_DT",$A$2)</f>
        <v>4.0502690000000001</v>
      </c>
      <c r="P13" s="15" cm="1">
        <f t="array" aca="1" ref="P13" ca="1">_xll.BDP(J13&amp;" Govt","REPO_FORWARD_PRICE","REPO_TERM_DATE",$A$4,"PX_ASK="&amp;M13,"SETTLE_DT",$A$2,"REPO_REPORATE="&amp;$A$5)</f>
        <v>96.486143988277647</v>
      </c>
      <c r="Q13" s="15" cm="1">
        <f t="array" aca="1" ref="Q13" ca="1">_xll.BDP(J13&amp;" Govt","YAS_BOND_YLD","YAS_BOND_PX",P13,"SETTLE_DT",$A$4)</f>
        <v>4.0493699999999997</v>
      </c>
      <c r="R13" s="11"/>
      <c r="S13" s="22">
        <f t="shared" ca="1" si="15"/>
        <v>296.50009999999997</v>
      </c>
      <c r="T13" s="22">
        <f t="shared" ca="1" si="16"/>
        <v>295.22749999999996</v>
      </c>
      <c r="U13" s="15" cm="1">
        <f t="array" ref="U13">_xll.BDP($A13&amp;" Govt","BASE_CPI")</f>
        <v>262.25027</v>
      </c>
      <c r="V13" s="15">
        <f t="shared" ca="1" si="17"/>
        <v>1.2095499999999999</v>
      </c>
      <c r="W13" s="14" cm="1">
        <f t="array" ref="W13">_xll.BDP($A13&amp;" Govt","YAS_RISK","YIELD_BETA_ASSUMPTION=1",)</f>
        <v>1.2582578413463839</v>
      </c>
      <c r="X13" s="15">
        <f t="shared" ca="1" si="18"/>
        <v>2.9998998961378969</v>
      </c>
      <c r="Y13" s="15">
        <f t="shared" ca="1" si="1"/>
        <v>1.0294756473576421</v>
      </c>
      <c r="Z13" s="15">
        <f t="shared" ca="1" si="2"/>
        <v>-0.31864722418211616</v>
      </c>
      <c r="AA13" s="14">
        <f t="shared" ca="1" si="3"/>
        <v>26.986370953393706</v>
      </c>
      <c r="AB13" s="15" cm="1">
        <f t="array" ref="AB13">_xll.BDP(J13&amp;" Govt","YLD_YTM_MID")</f>
        <v>4.0577815753006607</v>
      </c>
      <c r="AC13" s="19">
        <v>1</v>
      </c>
      <c r="AD13" s="14">
        <f t="shared" ca="1" si="4"/>
        <v>0</v>
      </c>
      <c r="AE13" s="22">
        <f t="shared" ca="1" si="5"/>
        <v>294.90885277581782</v>
      </c>
      <c r="AF13" s="22" cm="1">
        <f t="array" ref="AF13">(AB13-_xll.BDP(A13&amp;" Govt","YLD_YTM_MID"))*100</f>
        <v>295.94128918074512</v>
      </c>
      <c r="AG13" s="22">
        <f t="shared" ca="1" si="6"/>
        <v>1.0324364049272958</v>
      </c>
      <c r="AI13" s="12">
        <v>1.5</v>
      </c>
      <c r="AJ13" s="12">
        <v>1.5</v>
      </c>
      <c r="AL13" s="13">
        <v>0</v>
      </c>
      <c r="AM13" s="13">
        <v>0</v>
      </c>
      <c r="AO13" s="14">
        <f t="shared" ca="1" si="19"/>
        <v>4.5060443405885184</v>
      </c>
      <c r="AP13" s="14">
        <f t="shared" ca="1" si="19"/>
        <v>4.5060443405885184</v>
      </c>
      <c r="AR13" s="5">
        <f t="shared" ca="1" si="7"/>
        <v>1.1537534909483678</v>
      </c>
      <c r="AS13" s="5">
        <f t="shared" ca="1" si="8"/>
        <v>1.0636326041365973</v>
      </c>
      <c r="AT13" cm="1">
        <f t="array" aca="1" ref="AT13" ca="1">_xll.BDP($A13&amp;" Govt","YAS_BOND_PX","YAS_BOND_YLD",AR13,"SETTLE_DT",$A$4)</f>
        <v>98.921577845308889</v>
      </c>
      <c r="AU13" cm="1">
        <f t="array" aca="1" ref="AU13" ca="1">_xll.BDP($A13&amp;" Govt","YAS_BOND_PX","YAS_BOND_YLD",AS13,"SETTLE_DT",$A$4)</f>
        <v>99.015363278437036</v>
      </c>
      <c r="AV13" s="15" t="str">
        <f t="shared" ca="1" si="9"/>
        <v>98-294</v>
      </c>
      <c r="AW13" s="15" t="str">
        <f t="shared" ca="1" si="10"/>
        <v>99-004</v>
      </c>
      <c r="AY13" cm="1">
        <f t="array" ref="AY13">_xll.BDP($A13&amp;" Govt","CBBT_PX_BID")</f>
        <v>98.9296875</v>
      </c>
      <c r="AZ13" cm="1">
        <f t="array" ref="AZ13">_xll.BDP($A13&amp;" Govt","CBBT_PX_ASK")</f>
        <v>99.0234375</v>
      </c>
      <c r="BA13">
        <f t="shared" si="20"/>
        <v>98.9765625</v>
      </c>
      <c r="BB13" cm="1">
        <f t="array" aca="1" ref="BB13" ca="1">_xll.BDP(A13&amp;" Govt","YAS_BOND_YLD","YAS_BOND_PX",BA13,"SETTLE_DT",$A$4)</f>
        <v>1.100902</v>
      </c>
      <c r="BC13" s="15" t="str">
        <f t="shared" si="21"/>
        <v>98-296</v>
      </c>
      <c r="BD13" s="15" t="str">
        <f t="shared" si="22"/>
        <v>99-006</v>
      </c>
      <c r="BF13" s="4">
        <f t="shared" ca="1" si="23"/>
        <v>98.921577845308889</v>
      </c>
      <c r="BG13" s="4">
        <f t="shared" ca="1" si="24"/>
        <v>99.0234375</v>
      </c>
      <c r="BH13" s="26">
        <f t="shared" si="25"/>
        <v>0.125</v>
      </c>
      <c r="BI13" s="17">
        <f t="shared" si="26"/>
        <v>46127</v>
      </c>
      <c r="BJ13" s="34" t="str">
        <f t="shared" ca="1" si="27"/>
        <v>98-294</v>
      </c>
      <c r="BK13" s="35" t="str">
        <f t="shared" ca="1" si="28"/>
        <v>99-006</v>
      </c>
      <c r="BL13" s="18">
        <v>100</v>
      </c>
      <c r="BM13" s="19"/>
      <c r="BN13" s="11"/>
      <c r="BO13" s="14"/>
      <c r="BP13" s="14"/>
      <c r="BQ13" s="11"/>
      <c r="BR13" s="14"/>
      <c r="BS13" s="14"/>
      <c r="BT13" s="14"/>
      <c r="BU13" s="11"/>
      <c r="BV13" s="14"/>
      <c r="BW13" s="20">
        <v>1</v>
      </c>
      <c r="BX13" s="16"/>
      <c r="BY13" s="11"/>
      <c r="BZ13" s="19" t="s">
        <v>152</v>
      </c>
      <c r="CA13" s="11"/>
      <c r="CB13" s="21">
        <f t="shared" si="29"/>
        <v>68.065882802716786</v>
      </c>
      <c r="CC13" s="21" t="str">
        <f t="shared" si="30"/>
        <v>--</v>
      </c>
    </row>
    <row r="14" spans="1:82" x14ac:dyDescent="0.25">
      <c r="A14" s="19" t="s">
        <v>73</v>
      </c>
      <c r="B14" s="11" cm="1">
        <f t="array" ref="B14">_xll.BDP(A14&amp;" Govt","COUPON")</f>
        <v>0.125</v>
      </c>
      <c r="C14" s="17" cm="1">
        <f t="array" ref="C14">DATEVALUE(_xll.BDP(A14&amp;" Govt","MATURITY"))</f>
        <v>46218</v>
      </c>
      <c r="D14" s="15" cm="1">
        <f t="array" aca="1" ref="D14" ca="1">_xll.BDH(A14&amp;"@BVN4 CUSIP","PX_MID",$A$1,$A$1)</f>
        <v>99.193359375</v>
      </c>
      <c r="E14" s="15" t="str">
        <f t="shared" ca="1" si="13"/>
        <v>99-062</v>
      </c>
      <c r="F14" s="15" cm="1">
        <f t="array" aca="1" ref="F14" ca="1">_xll.BDP(A14&amp;" Govt","YAS_BOND_YLD","YAS_BOND_PX",D14,"SETTLE_DT",$A$2)</f>
        <v>0.74387199999999998</v>
      </c>
      <c r="G14" s="15" cm="1">
        <f t="array" aca="1" ref="G14" ca="1">_xll.BDP(A14&amp;" Govt","REPO_FORWARD_PRICE","REPO_TERM_DATE",$A$4,"PX_ASK="&amp;D14,"SETTLE_DT",$A$2,"REPO_REPORATE="&amp;$A$5)</f>
        <v>99.183965867710143</v>
      </c>
      <c r="H14" s="15" cm="1">
        <f t="array" aca="1" ref="H14" ca="1">_xll.BDP(A14&amp;" Govt","YAS_BOND_YLD","YAS_BOND_PX",G14,"SETTLE_DT",$A$4)</f>
        <v>0.75244100000000003</v>
      </c>
      <c r="I14" s="11"/>
      <c r="J14" s="11" t="str">
        <f>+VLOOKUP(A14,mapping!$A:$B,2,FALSE)</f>
        <v>9128282A7</v>
      </c>
      <c r="K14" s="11" cm="1">
        <f t="array" ref="K14">_xll.BDP(J14&amp;" Govt","COUPON")</f>
        <v>1.5</v>
      </c>
      <c r="L14" s="17" cm="1">
        <f t="array" ref="L14">DATEVALUE(_xll.BDP(J14&amp;" Govt","MATURITY"))</f>
        <v>46249</v>
      </c>
      <c r="M14" s="15" cm="1">
        <f t="array" aca="1" ref="M14" ca="1">_xll.BDH(J14&amp;"@BVN4 CUSIP","PX_MID",$A$1,$A$1)</f>
        <v>96.61328125</v>
      </c>
      <c r="N14" s="15" t="str">
        <f t="shared" ca="1" si="14"/>
        <v>96-195</v>
      </c>
      <c r="O14" s="15" cm="1">
        <f t="array" aca="1" ref="O14" ca="1">_xll.BDP(J14&amp;" Govt","YAS_BOND_YLD","YAS_BOND_PX",M14,"SETTLE_DT",$A$2)</f>
        <v>4.0148650000000004</v>
      </c>
      <c r="P14" s="15" cm="1">
        <f t="array" aca="1" ref="P14" ca="1">_xll.BDP(J14&amp;" Govt","REPO_FORWARD_PRICE","REPO_TERM_DATE",$A$4,"PX_ASK="&amp;M14,"SETTLE_DT",$A$2,"REPO_REPORATE="&amp;$A$5)</f>
        <v>96.620789914546279</v>
      </c>
      <c r="Q14" s="15" cm="1">
        <f t="array" aca="1" ref="Q14" ca="1">_xll.BDP(J14&amp;" Govt","YAS_BOND_YLD","YAS_BOND_PX",P14,"SETTLE_DT",$A$4)</f>
        <v>4.0140840000000004</v>
      </c>
      <c r="R14" s="11"/>
      <c r="S14" s="22">
        <f t="shared" ca="1" si="15"/>
        <v>327.09930000000003</v>
      </c>
      <c r="T14" s="22">
        <f t="shared" ca="1" si="16"/>
        <v>326.16430000000003</v>
      </c>
      <c r="U14" s="15" cm="1">
        <f t="array" ref="U14">_xll.BDP($A14&amp;" Govt","BASE_CPI")</f>
        <v>239.70132000000001</v>
      </c>
      <c r="V14" s="15">
        <f t="shared" ca="1" si="17"/>
        <v>1.3233299999999999</v>
      </c>
      <c r="W14" s="14" cm="1">
        <f t="array" ref="W14">_xll.BDP($A14&amp;" Govt","YAS_RISK","YIELD_BETA_ASSUMPTION=1",)</f>
        <v>1.7108865186649183</v>
      </c>
      <c r="X14" s="15">
        <f t="shared" ca="1" si="18"/>
        <v>2.4187499250483304</v>
      </c>
      <c r="Y14" s="15">
        <f t="shared" ca="1" si="1"/>
        <v>0.83004241177883564</v>
      </c>
      <c r="Z14" s="15">
        <f t="shared" ca="1" si="2"/>
        <v>-0.25691788936010684</v>
      </c>
      <c r="AA14" s="14">
        <f t="shared" ca="1" si="3"/>
        <v>29.585591088177598</v>
      </c>
      <c r="AB14" s="15" cm="1">
        <f t="array" ref="AB14">_xll.BDP(J14&amp;" Govt","YLD_YTM_MID")</f>
        <v>4.031203062378272</v>
      </c>
      <c r="AC14" s="19">
        <v>1</v>
      </c>
      <c r="AD14" s="14">
        <f t="shared" ca="1" si="4"/>
        <v>0</v>
      </c>
      <c r="AE14" s="22">
        <f t="shared" ca="1" si="5"/>
        <v>325.9073821106399</v>
      </c>
      <c r="AF14" s="22" cm="1">
        <f t="array" ref="AF14">(AB14-_xll.BDP(A14&amp;" Govt","YLD_YTM_MID"))*100</f>
        <v>328.88381686490391</v>
      </c>
      <c r="AG14" s="22">
        <f t="shared" ca="1" si="6"/>
        <v>2.9764347542640053</v>
      </c>
      <c r="AI14" s="12">
        <v>1.5</v>
      </c>
      <c r="AJ14" s="12">
        <v>1.5</v>
      </c>
      <c r="AL14" s="13">
        <v>0</v>
      </c>
      <c r="AM14" s="13">
        <v>0</v>
      </c>
      <c r="AO14" s="14">
        <f t="shared" ca="1" si="19"/>
        <v>3.6256696790390079</v>
      </c>
      <c r="AP14" s="14">
        <f t="shared" ca="1" si="19"/>
        <v>3.6256696790390079</v>
      </c>
      <c r="AR14" s="5">
        <f t="shared" ca="1" si="7"/>
        <v>0.80838593806226289</v>
      </c>
      <c r="AS14" s="5">
        <f t="shared" ca="1" si="8"/>
        <v>0.73587254448148265</v>
      </c>
      <c r="AT14" cm="1">
        <f t="array" aca="1" ref="AT14" ca="1">_xll.BDP($A14&amp;" Govt","YAS_BOND_PX","YAS_BOND_YLD",AR14,"SETTLE_DT",$A$4)</f>
        <v>99.11165372479725</v>
      </c>
      <c r="AU14" cm="1">
        <f t="array" aca="1" ref="AU14" ca="1">_xll.BDP($A14&amp;" Govt","YAS_BOND_PX","YAS_BOND_YLD",AS14,"SETTLE_DT",$A$4)</f>
        <v>99.205396211105366</v>
      </c>
      <c r="AV14" s="15" t="str">
        <f t="shared" ca="1" si="9"/>
        <v>99-035</v>
      </c>
      <c r="AW14" s="15" t="str">
        <f t="shared" ca="1" si="10"/>
        <v>99-065</v>
      </c>
      <c r="AY14" cm="1">
        <f t="array" ref="AY14">_xll.BDP($A14&amp;" Govt","CBBT_PX_BID")</f>
        <v>99.1484375</v>
      </c>
      <c r="AZ14" cm="1">
        <f t="array" ref="AZ14">_xll.BDP($A14&amp;" Govt","CBBT_PX_ASK")</f>
        <v>99.2421875</v>
      </c>
      <c r="BA14">
        <f t="shared" si="20"/>
        <v>99.1953125</v>
      </c>
      <c r="BB14" cm="1">
        <f t="array" aca="1" ref="BB14" ca="1">_xll.BDP(A14&amp;" Govt","YAS_BOND_YLD","YAS_BOND_PX",BA14,"SETTLE_DT",$A$4)</f>
        <v>0.743668</v>
      </c>
      <c r="BC14" s="15" t="str">
        <f t="shared" si="21"/>
        <v>99-046</v>
      </c>
      <c r="BD14" s="15" t="str">
        <f t="shared" si="22"/>
        <v>99-076</v>
      </c>
      <c r="BF14" s="4">
        <f t="shared" ca="1" si="23"/>
        <v>99.11165372479725</v>
      </c>
      <c r="BG14" s="4">
        <f t="shared" ca="1" si="24"/>
        <v>99.2421875</v>
      </c>
      <c r="BH14" s="26">
        <f t="shared" si="25"/>
        <v>0.125</v>
      </c>
      <c r="BI14" s="17">
        <f t="shared" si="26"/>
        <v>46218</v>
      </c>
      <c r="BJ14" s="34" t="str">
        <f t="shared" ca="1" si="27"/>
        <v>99-035</v>
      </c>
      <c r="BK14" s="35" t="str">
        <f t="shared" ca="1" si="28"/>
        <v>99-076</v>
      </c>
      <c r="BL14" s="18">
        <v>100</v>
      </c>
      <c r="BM14" s="19"/>
      <c r="BN14" s="11"/>
      <c r="BO14" s="14"/>
      <c r="BP14" s="14"/>
      <c r="BQ14" s="11"/>
      <c r="BR14" s="14"/>
      <c r="BS14" s="14"/>
      <c r="BT14" s="14"/>
      <c r="BU14" s="11"/>
      <c r="BV14" s="14"/>
      <c r="BW14" s="20">
        <v>1</v>
      </c>
      <c r="BX14" s="16"/>
      <c r="BY14" s="11"/>
      <c r="BZ14" s="19" t="s">
        <v>152</v>
      </c>
      <c r="CA14" s="11"/>
      <c r="CB14" s="21">
        <f t="shared" si="29"/>
        <v>92.550983941085804</v>
      </c>
      <c r="CC14" s="21" t="str">
        <f t="shared" si="30"/>
        <v>--</v>
      </c>
    </row>
    <row r="15" spans="1:82" x14ac:dyDescent="0.25">
      <c r="A15" s="19" t="s">
        <v>35</v>
      </c>
      <c r="B15" s="11" cm="1">
        <f t="array" ref="B15">_xll.BDP(A15&amp;" Govt","COUPON")</f>
        <v>0.125</v>
      </c>
      <c r="C15" s="17" cm="1">
        <f t="array" ref="C15">DATEVALUE(_xll.BDP(A15&amp;" Govt","MATURITY"))</f>
        <v>46310</v>
      </c>
      <c r="D15" s="15" cm="1">
        <f t="array" aca="1" ref="D15" ca="1">_xll.BDH(A15&amp;"@BVN4 CUSIP","PX_MID",$A$1,$A$1)</f>
        <v>98.861328125</v>
      </c>
      <c r="E15" s="15" t="str">
        <f t="shared" ca="1" si="13"/>
        <v>98-275</v>
      </c>
      <c r="F15" s="15" cm="1">
        <f t="array" aca="1" ref="F15" ca="1">_xll.BDP(A15&amp;" Govt","YAS_BOND_YLD","YAS_BOND_PX",D15,"SETTLE_DT",$A$2)</f>
        <v>0.86118700000000004</v>
      </c>
      <c r="G15" s="15" cm="1">
        <f t="array" aca="1" ref="G15" ca="1">_xll.BDP(A15&amp;" Govt","REPO_FORWARD_PRICE","REPO_TERM_DATE",$A$4,"PX_ASK="&amp;D15,"SETTLE_DT",$A$2,"REPO_REPORATE="&amp;$A$5)</f>
        <v>98.851590401358493</v>
      </c>
      <c r="H15" s="15" cm="1">
        <f t="array" aca="1" ref="H15" ca="1">_xll.BDP(A15&amp;" Govt","YAS_BOND_YLD","YAS_BOND_PX",G15,"SETTLE_DT",$A$4)</f>
        <v>0.868842</v>
      </c>
      <c r="I15" s="11"/>
      <c r="J15" s="11" t="str">
        <f>+VLOOKUP(A15,mapping!$A:$B,2,FALSE)</f>
        <v>91282CDG3</v>
      </c>
      <c r="K15" s="11" cm="1">
        <f t="array" ref="K15">_xll.BDP(J15&amp;" Govt","COUPON")</f>
        <v>1.125</v>
      </c>
      <c r="L15" s="17" cm="1">
        <f t="array" ref="L15">DATEVALUE(_xll.BDP(J15&amp;" Govt","MATURITY"))</f>
        <v>46326</v>
      </c>
      <c r="M15" s="15" cm="1">
        <f t="array" aca="1" ref="M15" ca="1">_xll.BDH(J15&amp;"@BVN4 CUSIP","PX_MID",$A$1,$A$1)</f>
        <v>95.603515625</v>
      </c>
      <c r="N15" s="15" t="str">
        <f t="shared" ca="1" si="14"/>
        <v>95-193</v>
      </c>
      <c r="O15" s="15" cm="1">
        <f t="array" aca="1" ref="O15" ca="1">_xll.BDP(J15&amp;" Govt","YAS_BOND_YLD","YAS_BOND_PX",M15,"SETTLE_DT",$A$2)</f>
        <v>3.9841709999999999</v>
      </c>
      <c r="P15" s="15" cm="1">
        <f t="array" aca="1" ref="P15" ca="1">_xll.BDP(J15&amp;" Govt","REPO_FORWARD_PRICE","REPO_TERM_DATE",$A$4,"PX_ASK="&amp;M15,"SETTLE_DT",$A$2,"REPO_REPORATE="&amp;$A$5)</f>
        <v>95.61197403498808</v>
      </c>
      <c r="Q15" s="15" cm="1">
        <f t="array" aca="1" ref="Q15" ca="1">_xll.BDP(J15&amp;" Govt","YAS_BOND_YLD","YAS_BOND_PX",P15,"SETTLE_DT",$A$4)</f>
        <v>3.9834339999999999</v>
      </c>
      <c r="R15" s="11"/>
      <c r="S15" s="22">
        <f t="shared" ca="1" si="15"/>
        <v>312.29839999999996</v>
      </c>
      <c r="T15" s="22">
        <f t="shared" ca="1" si="16"/>
        <v>311.45920000000001</v>
      </c>
      <c r="U15" s="15" cm="1">
        <f t="array" ref="U15">_xll.BDP($A15&amp;" Govt","BASE_CPI")</f>
        <v>273.25770999999997</v>
      </c>
      <c r="V15" s="15">
        <f t="shared" ca="1" si="17"/>
        <v>1.16083</v>
      </c>
      <c r="W15" s="14" cm="1">
        <f t="array" ref="W15">_xll.BDP($A15&amp;" Govt","YAS_RISK","YIELD_BETA_ASSUMPTION=1",)</f>
        <v>1.777817861720399</v>
      </c>
      <c r="X15" s="15">
        <f t="shared" ca="1" si="18"/>
        <v>2.0350109520841873</v>
      </c>
      <c r="Y15" s="15">
        <f t="shared" ca="1" si="1"/>
        <v>0.69835470842673053</v>
      </c>
      <c r="Z15" s="15">
        <f t="shared" ca="1" si="2"/>
        <v>-0.21615740975112333</v>
      </c>
      <c r="AA15" s="14">
        <f t="shared" ca="1" si="3"/>
        <v>25.865572384532975</v>
      </c>
      <c r="AB15" s="15" cm="1">
        <f t="array" ref="AB15">_xll.BDP(J15&amp;" Govt","YLD_YTM_MID")</f>
        <v>4.0090389999999996</v>
      </c>
      <c r="AC15" s="19">
        <v>1</v>
      </c>
      <c r="AD15" s="14">
        <f t="shared" ca="1" si="4"/>
        <v>0</v>
      </c>
      <c r="AE15" s="22">
        <f t="shared" ca="1" si="5"/>
        <v>311.24304259024888</v>
      </c>
      <c r="AF15" s="22" cm="1">
        <f t="array" ref="AF15">(AB15-_xll.BDP(A15&amp;" Govt","YLD_YTM_MID"))*100</f>
        <v>314.14898681526614</v>
      </c>
      <c r="AG15" s="22">
        <f t="shared" ca="1" si="6"/>
        <v>2.9059442250172651</v>
      </c>
      <c r="AI15" s="12">
        <v>1.5</v>
      </c>
      <c r="AJ15" s="12">
        <v>1.5</v>
      </c>
      <c r="AL15" s="13">
        <v>0</v>
      </c>
      <c r="AM15" s="13">
        <v>0</v>
      </c>
      <c r="AO15" s="14">
        <f t="shared" ca="1" si="19"/>
        <v>3.0607132159952273</v>
      </c>
      <c r="AP15" s="14">
        <f t="shared" ca="1" si="19"/>
        <v>3.0607132159952273</v>
      </c>
      <c r="AR15" s="5">
        <f t="shared" ca="1" si="7"/>
        <v>0.92721570625746319</v>
      </c>
      <c r="AS15" s="5">
        <f t="shared" ca="1" si="8"/>
        <v>0.86600144193755868</v>
      </c>
      <c r="AT15" cm="1">
        <f t="array" aca="1" ref="AT15" ca="1">_xll.BDP($A15&amp;" Govt","YAS_BOND_PX","YAS_BOND_YLD",AR15,"SETTLE_DT",$A$4)</f>
        <v>98.762207194516932</v>
      </c>
      <c r="AU15" cm="1">
        <f t="array" aca="1" ref="AU15" ca="1">_xll.BDP($A15&amp;" Govt","YAS_BOND_PX","YAS_BOND_YLD",AS15,"SETTLE_DT",$A$4)</f>
        <v>98.85594271646444</v>
      </c>
      <c r="AV15" s="15" t="str">
        <f t="shared" ca="1" si="9"/>
        <v>98-243</v>
      </c>
      <c r="AW15" s="15" t="str">
        <f t="shared" ca="1" si="10"/>
        <v>98-273</v>
      </c>
      <c r="AY15" cm="1">
        <f t="array" ref="AY15">_xll.BDP($A15&amp;" Govt","CBBT_PX_BID")</f>
        <v>98.8046875</v>
      </c>
      <c r="AZ15" cm="1">
        <f t="array" ref="AZ15">_xll.BDP($A15&amp;" Govt","CBBT_PX_ASK")</f>
        <v>98.8984375</v>
      </c>
      <c r="BA15">
        <f t="shared" si="20"/>
        <v>98.8515625</v>
      </c>
      <c r="BB15" cm="1">
        <f t="array" aca="1" ref="BB15" ca="1">_xll.BDP(A15&amp;" Govt","YAS_BOND_YLD","YAS_BOND_PX",BA15,"SETTLE_DT",$A$4)</f>
        <v>0.86885999999999997</v>
      </c>
      <c r="BC15" s="15" t="str">
        <f t="shared" si="21"/>
        <v>98-256</v>
      </c>
      <c r="BD15" s="15" t="str">
        <f t="shared" si="22"/>
        <v>98-286</v>
      </c>
      <c r="BF15" s="4">
        <f t="shared" ca="1" si="23"/>
        <v>98.762207194516932</v>
      </c>
      <c r="BG15" s="4">
        <f t="shared" ca="1" si="24"/>
        <v>98.8984375</v>
      </c>
      <c r="BH15" s="26">
        <f t="shared" si="25"/>
        <v>0.125</v>
      </c>
      <c r="BI15" s="17">
        <f t="shared" si="26"/>
        <v>46310</v>
      </c>
      <c r="BJ15" s="34" t="str">
        <f t="shared" ca="1" si="27"/>
        <v>98-243</v>
      </c>
      <c r="BK15" s="35" t="str">
        <f t="shared" ca="1" si="28"/>
        <v>98-286</v>
      </c>
      <c r="BL15" s="18">
        <v>100</v>
      </c>
      <c r="BM15" s="19"/>
      <c r="BN15" s="11"/>
      <c r="BO15" s="14"/>
      <c r="BP15" s="14"/>
      <c r="BQ15" s="11"/>
      <c r="BR15" s="14"/>
      <c r="BS15" s="14"/>
      <c r="BT15" s="14"/>
      <c r="BU15" s="11"/>
      <c r="BV15" s="14"/>
      <c r="BW15" s="20">
        <v>1</v>
      </c>
      <c r="BX15" s="16"/>
      <c r="BY15" s="11"/>
      <c r="BZ15" s="19" t="s">
        <v>152</v>
      </c>
      <c r="CA15" s="11"/>
      <c r="CB15" s="21">
        <f t="shared" si="29"/>
        <v>96.171657544333897</v>
      </c>
      <c r="CC15" s="21" t="str">
        <f t="shared" si="30"/>
        <v>--</v>
      </c>
    </row>
    <row r="16" spans="1:82" x14ac:dyDescent="0.25">
      <c r="A16" s="19" t="s">
        <v>71</v>
      </c>
      <c r="B16" s="11" cm="1">
        <f t="array" ref="B16">_xll.BDP(A16&amp;" Govt","COUPON")</f>
        <v>0.375</v>
      </c>
      <c r="C16" s="17" cm="1">
        <f t="array" ref="C16">DATEVALUE(_xll.BDP(A16&amp;" Govt","MATURITY"))</f>
        <v>46402</v>
      </c>
      <c r="D16" s="15" cm="1">
        <f t="array" aca="1" ref="D16" ca="1">_xll.BDH(A16&amp;"@BVN4 CUSIP","PX_MID",$A$1,$A$1)</f>
        <v>98.615234375</v>
      </c>
      <c r="E16" s="15" t="str">
        <f t="shared" ca="1" si="13"/>
        <v>98-196</v>
      </c>
      <c r="F16" s="15" cm="1">
        <f t="array" aca="1" ref="F16" ca="1">_xll.BDP(A16&amp;" Govt","YAS_BOND_YLD","YAS_BOND_PX",D16,"SETTLE_DT",$A$2)</f>
        <v>1.149262</v>
      </c>
      <c r="G16" s="15" cm="1">
        <f t="array" aca="1" ref="G16" ca="1">_xll.BDP(A16&amp;" Govt","REPO_FORWARD_PRICE","REPO_TERM_DATE",$A$4,"PX_ASK="&amp;D16,"SETTLE_DT",$A$2,"REPO_REPORATE="&amp;$A$5)</f>
        <v>98.605788415673146</v>
      </c>
      <c r="H16" s="15" cm="1">
        <f t="array" aca="1" ref="H16" ca="1">_xll.BDP(A16&amp;" Govt","YAS_BOND_YLD","YAS_BOND_PX",G16,"SETTLE_DT",$A$4)</f>
        <v>1.1557789999999999</v>
      </c>
      <c r="I16" s="11"/>
      <c r="J16" s="11" t="str">
        <f>+VLOOKUP(A16,mapping!$A:$B,2,FALSE)</f>
        <v>912828V98</v>
      </c>
      <c r="K16" s="11" cm="1">
        <f t="array" ref="K16">_xll.BDP(J16&amp;" Govt","COUPON")</f>
        <v>2.25</v>
      </c>
      <c r="L16" s="17" cm="1">
        <f t="array" ref="L16">DATEVALUE(_xll.BDP(J16&amp;" Govt","MATURITY"))</f>
        <v>46433</v>
      </c>
      <c r="M16" s="15" cm="1">
        <f t="array" aca="1" ref="M16" ca="1">_xll.BDH(J16&amp;"@BVN4 CUSIP","PX_MID",$A$1,$A$1)</f>
        <v>96.912109375</v>
      </c>
      <c r="N16" s="15" t="str">
        <f t="shared" ca="1" si="14"/>
        <v>96-292</v>
      </c>
      <c r="O16" s="15" cm="1">
        <f t="array" aca="1" ref="O16" ca="1">_xll.BDP(J16&amp;" Govt","YAS_BOND_YLD","YAS_BOND_PX",M16,"SETTLE_DT",$A$2)</f>
        <v>3.953945</v>
      </c>
      <c r="P16" s="15" cm="1">
        <f t="array" aca="1" ref="P16" ca="1">_xll.BDP(J16&amp;" Govt","REPO_FORWARD_PRICE","REPO_TERM_DATE",$A$4,"PX_ASK="&amp;M16,"SETTLE_DT",$A$2,"REPO_REPORATE="&amp;$A$5)</f>
        <v>96.91759143106421</v>
      </c>
      <c r="Q16" s="15" cm="1">
        <f t="array" aca="1" ref="Q16" ca="1">_xll.BDP(J16&amp;" Govt","YAS_BOND_YLD","YAS_BOND_PX",P16,"SETTLE_DT",$A$4)</f>
        <v>3.953274</v>
      </c>
      <c r="R16" s="11"/>
      <c r="S16" s="22">
        <f t="shared" ca="1" si="15"/>
        <v>280.4683</v>
      </c>
      <c r="T16" s="22">
        <f t="shared" ca="1" si="16"/>
        <v>279.74950000000001</v>
      </c>
      <c r="U16" s="15" cm="1">
        <f t="array" ref="U16">_xll.BDP($A16&amp;" Govt","BASE_CPI")</f>
        <v>241.55919</v>
      </c>
      <c r="V16" s="15">
        <f t="shared" ca="1" si="17"/>
        <v>1.31315</v>
      </c>
      <c r="W16" s="14" cm="1">
        <f t="array" ref="W16">_xll.BDP($A16&amp;" Govt","YAS_RISK","YIELD_BETA_ASSUMPTION=1",)</f>
        <v>2.3231473093167776</v>
      </c>
      <c r="X16" s="15">
        <f t="shared" ca="1" si="18"/>
        <v>1.757291051661648</v>
      </c>
      <c r="Y16" s="15">
        <f t="shared" ca="1" si="1"/>
        <v>0.60304957019872774</v>
      </c>
      <c r="Z16" s="15">
        <f t="shared" ca="1" si="2"/>
        <v>-0.18665820029959967</v>
      </c>
      <c r="AA16" s="14">
        <f t="shared" ca="1" si="3"/>
        <v>29.186937216496116</v>
      </c>
      <c r="AB16" s="15" cm="1">
        <f t="array" ref="AB16">_xll.BDP(J16&amp;" Govt","YLD_YTM_MID")</f>
        <v>3.9792514243857995</v>
      </c>
      <c r="AC16" s="19">
        <v>1</v>
      </c>
      <c r="AD16" s="14">
        <f t="shared" ca="1" si="4"/>
        <v>0</v>
      </c>
      <c r="AE16" s="22">
        <f t="shared" ca="1" si="5"/>
        <v>279.56284179970044</v>
      </c>
      <c r="AF16" s="22" cm="1">
        <f t="array" ref="AF16">(AB16-_xll.BDP(A16&amp;" Govt","YLD_YTM_MID"))*100</f>
        <v>282.88875120615177</v>
      </c>
      <c r="AG16" s="22">
        <f t="shared" ca="1" si="6"/>
        <v>3.3259094064513306</v>
      </c>
      <c r="AI16" s="12">
        <v>2</v>
      </c>
      <c r="AJ16" s="12">
        <v>2</v>
      </c>
      <c r="AL16" s="13">
        <v>0</v>
      </c>
      <c r="AM16" s="13">
        <v>0</v>
      </c>
      <c r="AO16" s="14">
        <f t="shared" ca="1" si="19"/>
        <v>3.5327882425215993</v>
      </c>
      <c r="AP16" s="14">
        <f t="shared" ca="1" si="19"/>
        <v>3.5327882425215993</v>
      </c>
      <c r="AR16" s="5">
        <f t="shared" ca="1" si="7"/>
        <v>1.218950888814011</v>
      </c>
      <c r="AS16" s="5">
        <f t="shared" ca="1" si="8"/>
        <v>1.1482951239635792</v>
      </c>
      <c r="AT16" cm="1">
        <f t="array" aca="1" ref="AT16" ca="1">_xll.BDP($A16&amp;" Govt","YAS_BOND_PX","YAS_BOND_YLD",AR16,"SETTLE_DT",$A$4)</f>
        <v>98.49407788746575</v>
      </c>
      <c r="AU16" cm="1">
        <f t="array" aca="1" ref="AU16" ca="1">_xll.BDP($A16&amp;" Govt","YAS_BOND_PX","YAS_BOND_YLD",AS16,"SETTLE_DT",$A$4)</f>
        <v>98.619033946247342</v>
      </c>
      <c r="AV16" s="15" t="str">
        <f t="shared" ca="1" si="9"/>
        <v>98-156</v>
      </c>
      <c r="AW16" s="15" t="str">
        <f t="shared" ca="1" si="10"/>
        <v>98-196</v>
      </c>
      <c r="AY16" cm="1">
        <f t="array" ref="AY16">_xll.BDP($A16&amp;" Govt","CBBT_PX_BID")</f>
        <v>98.5703125</v>
      </c>
      <c r="AZ16" cm="1">
        <f t="array" ref="AZ16">_xll.BDP($A16&amp;" Govt","CBBT_PX_ASK")</f>
        <v>98.65625</v>
      </c>
      <c r="BA16">
        <f t="shared" si="20"/>
        <v>98.61328125</v>
      </c>
      <c r="BB16" cm="1">
        <f t="array" aca="1" ref="BB16" ca="1">_xll.BDP(A16&amp;" Govt","YAS_BOND_YLD","YAS_BOND_PX",BA16,"SETTLE_DT",$A$4)</f>
        <v>1.151545</v>
      </c>
      <c r="BC16" s="15" t="str">
        <f t="shared" si="21"/>
        <v>98-182</v>
      </c>
      <c r="BD16" s="15" t="str">
        <f t="shared" si="22"/>
        <v>98-210</v>
      </c>
      <c r="BF16" s="4">
        <f t="shared" ca="1" si="23"/>
        <v>98.49407788746575</v>
      </c>
      <c r="BG16" s="4">
        <f t="shared" ca="1" si="24"/>
        <v>98.65625</v>
      </c>
      <c r="BH16" s="26">
        <f t="shared" si="25"/>
        <v>0.375</v>
      </c>
      <c r="BI16" s="17">
        <f t="shared" si="26"/>
        <v>46402</v>
      </c>
      <c r="BJ16" s="34" t="str">
        <f t="shared" ca="1" si="27"/>
        <v>98-156</v>
      </c>
      <c r="BK16" s="35" t="str">
        <f t="shared" ca="1" si="28"/>
        <v>98-210</v>
      </c>
      <c r="BL16" s="18">
        <v>100</v>
      </c>
      <c r="BM16" s="19"/>
      <c r="BN16" s="11"/>
      <c r="BO16" s="14"/>
      <c r="BP16" s="14"/>
      <c r="BQ16" s="11"/>
      <c r="BR16" s="14"/>
      <c r="BS16" s="14"/>
      <c r="BT16" s="14"/>
      <c r="BU16" s="11"/>
      <c r="BV16" s="14"/>
      <c r="BW16" s="20">
        <v>1</v>
      </c>
      <c r="BX16" s="16"/>
      <c r="BY16" s="11"/>
      <c r="BZ16" s="19" t="s">
        <v>152</v>
      </c>
      <c r="CA16" s="11"/>
      <c r="CB16" s="21">
        <f t="shared" si="29"/>
        <v>125.67143815309001</v>
      </c>
      <c r="CC16" s="21" t="str">
        <f t="shared" si="30"/>
        <v>--</v>
      </c>
    </row>
    <row r="17" spans="1:81" x14ac:dyDescent="0.25">
      <c r="A17" s="19" t="s">
        <v>96</v>
      </c>
      <c r="B17" s="11" cm="1">
        <f t="array" ref="B17">_xll.BDP(A17&amp;" Govt","COUPON")</f>
        <v>2.375</v>
      </c>
      <c r="C17" s="17" cm="1">
        <f t="array" ref="C17">DATEVALUE(_xll.BDP(A17&amp;" Govt","MATURITY"))</f>
        <v>46402</v>
      </c>
      <c r="D17" s="15" cm="1">
        <f t="array" aca="1" ref="D17" ca="1">_xll.BDH(A17&amp;"@BVN4 CUSIP","PX_MID",$A$1,$A$1)</f>
        <v>102.240234375</v>
      </c>
      <c r="E17" s="15" t="str">
        <f t="shared" ca="1" si="13"/>
        <v>102-076</v>
      </c>
      <c r="F17" s="15" cm="1">
        <f t="array" aca="1" ref="F17" ca="1">_xll.BDP(A17&amp;" Govt","YAS_BOND_YLD","YAS_BOND_PX",D17,"SETTLE_DT",$A$2)</f>
        <v>1.1222590000000001</v>
      </c>
      <c r="G17" s="15" cm="1">
        <f t="array" aca="1" ref="G17" ca="1">_xll.BDP(A17&amp;" Govt","REPO_FORWARD_PRICE","REPO_TERM_DATE",$A$4,"PX_ASK="&amp;D17,"SETTLE_DT",$A$2,"REPO_REPORATE="&amp;$A$5)</f>
        <v>102.22449260416107</v>
      </c>
      <c r="H17" s="15" cm="1">
        <f t="array" aca="1" ref="H17" ca="1">_xll.BDP(A17&amp;" Govt","YAS_BOND_YLD","YAS_BOND_PX",G17,"SETTLE_DT",$A$4)</f>
        <v>1.1290770000000001</v>
      </c>
      <c r="I17" s="11"/>
      <c r="J17" s="11" t="str">
        <f>+VLOOKUP(A17,mapping!$A:$B,2,FALSE)</f>
        <v>912828V98</v>
      </c>
      <c r="K17" s="11" cm="1">
        <f t="array" ref="K17">_xll.BDP(J17&amp;" Govt","COUPON")</f>
        <v>2.25</v>
      </c>
      <c r="L17" s="17" cm="1">
        <f t="array" ref="L17">DATEVALUE(_xll.BDP(J17&amp;" Govt","MATURITY"))</f>
        <v>46433</v>
      </c>
      <c r="M17" s="15" cm="1">
        <f t="array" aca="1" ref="M17" ca="1">_xll.BDH(J17&amp;"@BVN4 CUSIP","PX_MID",$A$1,$A$1)</f>
        <v>96.912109375</v>
      </c>
      <c r="N17" s="15" t="str">
        <f t="shared" ca="1" si="14"/>
        <v>96-292</v>
      </c>
      <c r="O17" s="15" cm="1">
        <f t="array" aca="1" ref="O17" ca="1">_xll.BDP(J17&amp;" Govt","YAS_BOND_YLD","YAS_BOND_PX",M17,"SETTLE_DT",$A$2)</f>
        <v>3.953945</v>
      </c>
      <c r="P17" s="15" cm="1">
        <f t="array" aca="1" ref="P17" ca="1">_xll.BDP(J17&amp;" Govt","REPO_FORWARD_PRICE","REPO_TERM_DATE",$A$4,"PX_ASK="&amp;M17,"SETTLE_DT",$A$2,"REPO_REPORATE="&amp;$A$5)</f>
        <v>96.91759143106421</v>
      </c>
      <c r="Q17" s="15" cm="1">
        <f t="array" aca="1" ref="Q17" ca="1">_xll.BDP(J17&amp;" Govt","YAS_BOND_YLD","YAS_BOND_PX",P17,"SETTLE_DT",$A$4)</f>
        <v>3.953274</v>
      </c>
      <c r="R17" s="11"/>
      <c r="S17" s="22">
        <f t="shared" ca="1" si="15"/>
        <v>283.16859999999997</v>
      </c>
      <c r="T17" s="22">
        <f t="shared" ca="1" si="16"/>
        <v>282.41969999999998</v>
      </c>
      <c r="U17" s="15" cm="1">
        <f t="array" ref="U17">_xll.BDP($A17&amp;" Govt","BASE_CPI")</f>
        <v>201.66452000000001</v>
      </c>
      <c r="V17" s="15">
        <f t="shared" ca="1" si="17"/>
        <v>1.5729299999999999</v>
      </c>
      <c r="W17" s="14" cm="1">
        <f t="array" ref="W17">_xll.BDP($A17&amp;" Govt","YAS_RISK","YIELD_BETA_ASSUMPTION=1",)</f>
        <v>2.8495221043733387</v>
      </c>
      <c r="X17" s="15">
        <f t="shared" ca="1" si="18"/>
        <v>1.7791817254405664</v>
      </c>
      <c r="Y17" s="15">
        <f t="shared" ca="1" si="1"/>
        <v>0.61056179271943922</v>
      </c>
      <c r="Z17" s="15">
        <f t="shared" ca="1" si="2"/>
        <v>-0.18898341203220079</v>
      </c>
      <c r="AA17" s="14">
        <f t="shared" ca="1" si="3"/>
        <v>36.246027592496965</v>
      </c>
      <c r="AB17" s="15" cm="1">
        <f t="array" ref="AB17">_xll.BDP(J17&amp;" Govt","YLD_YTM_MID")</f>
        <v>3.9792514243857995</v>
      </c>
      <c r="AC17" s="19">
        <v>1</v>
      </c>
      <c r="AD17" s="14">
        <f t="shared" ca="1" si="4"/>
        <v>0</v>
      </c>
      <c r="AE17" s="22">
        <f t="shared" ca="1" si="5"/>
        <v>282.23071658796778</v>
      </c>
      <c r="AF17" s="22" cm="1">
        <f t="array" ref="AF17">(AB17-_xll.BDP(A17&amp;" Govt","YLD_YTM_MID"))*100</f>
        <v>285.59160865273981</v>
      </c>
      <c r="AG17" s="22">
        <f t="shared" ca="1" si="6"/>
        <v>3.3608920647720311</v>
      </c>
      <c r="AI17" s="12">
        <v>2</v>
      </c>
      <c r="AJ17" s="12">
        <v>2</v>
      </c>
      <c r="AL17" s="13">
        <v>0</v>
      </c>
      <c r="AM17" s="13">
        <v>0</v>
      </c>
      <c r="AO17" s="14">
        <f t="shared" ca="1" si="19"/>
        <v>3.4499863976882441</v>
      </c>
      <c r="AP17" s="14">
        <f t="shared" ca="1" si="19"/>
        <v>3.4499863976882441</v>
      </c>
      <c r="AR17" s="5">
        <f t="shared" ca="1" si="7"/>
        <v>1.1914441224830041</v>
      </c>
      <c r="AS17" s="5">
        <f t="shared" ca="1" si="8"/>
        <v>1.1224443945292391</v>
      </c>
      <c r="AT17" cm="1">
        <f t="array" aca="1" ref="AT17" ca="1">_xll.BDP($A17&amp;" Govt","YAS_BOND_PX","YAS_BOND_YLD",AR17,"SETTLE_DT",$A$4)</f>
        <v>102.11154861972145</v>
      </c>
      <c r="AU17" cm="1">
        <f t="array" aca="1" ref="AU17" ca="1">_xll.BDP($A17&amp;" Govt","YAS_BOND_PX","YAS_BOND_YLD",AS17,"SETTLE_DT",$A$4)</f>
        <v>102.23651271825717</v>
      </c>
      <c r="AV17" s="15" t="str">
        <f t="shared" ca="1" si="9"/>
        <v>102-035</v>
      </c>
      <c r="AW17" s="15" t="str">
        <f t="shared" ca="1" si="10"/>
        <v>102-075</v>
      </c>
      <c r="AY17" cm="1">
        <f t="array" ref="AY17">_xll.BDP($A17&amp;" Govt","CBBT_PX_BID")</f>
        <v>102.1796875</v>
      </c>
      <c r="AZ17" cm="1">
        <f t="array" ref="AZ17">_xll.BDP($A17&amp;" Govt","CBBT_PX_ASK")</f>
        <v>102.296875</v>
      </c>
      <c r="BA17">
        <f t="shared" si="20"/>
        <v>102.23828125</v>
      </c>
      <c r="BB17" cm="1">
        <f t="array" aca="1" ref="BB17" ca="1">_xll.BDP(A17&amp;" Govt","YAS_BOND_YLD","YAS_BOND_PX",BA17,"SETTLE_DT",$A$4)</f>
        <v>1.121469</v>
      </c>
      <c r="BC17" s="15" t="str">
        <f t="shared" si="21"/>
        <v>102-056</v>
      </c>
      <c r="BD17" s="15" t="str">
        <f t="shared" si="22"/>
        <v>102-094</v>
      </c>
      <c r="BF17" s="4">
        <f t="shared" ca="1" si="23"/>
        <v>102.11154861972145</v>
      </c>
      <c r="BG17" s="4">
        <f t="shared" ca="1" si="24"/>
        <v>102.296875</v>
      </c>
      <c r="BH17" s="26">
        <f t="shared" si="25"/>
        <v>2.375</v>
      </c>
      <c r="BI17" s="17">
        <f t="shared" si="26"/>
        <v>46402</v>
      </c>
      <c r="BJ17" s="34" t="str">
        <f t="shared" ca="1" si="27"/>
        <v>102-035</v>
      </c>
      <c r="BK17" s="35" t="str">
        <f t="shared" ca="1" si="28"/>
        <v>102-094</v>
      </c>
      <c r="BL17" s="18">
        <v>100</v>
      </c>
      <c r="BM17" s="19"/>
      <c r="BN17" s="11"/>
      <c r="BO17" s="14"/>
      <c r="BP17" s="14"/>
      <c r="BQ17" s="11"/>
      <c r="BR17" s="14"/>
      <c r="BS17" s="14"/>
      <c r="BT17" s="14"/>
      <c r="BU17" s="11"/>
      <c r="BV17" s="14"/>
      <c r="BW17" s="20">
        <v>1</v>
      </c>
      <c r="BX17" s="16"/>
      <c r="BY17" s="11"/>
      <c r="BZ17" s="19" t="s">
        <v>152</v>
      </c>
      <c r="CA17" s="11"/>
      <c r="CB17" s="21">
        <f t="shared" si="29"/>
        <v>154.14586043229986</v>
      </c>
      <c r="CC17" s="21" t="str">
        <f t="shared" si="30"/>
        <v>--</v>
      </c>
    </row>
    <row r="18" spans="1:81" x14ac:dyDescent="0.25">
      <c r="A18" s="19" t="s">
        <v>31</v>
      </c>
      <c r="B18" s="11" cm="1">
        <f t="array" ref="B18">_xll.BDP(A18&amp;" Govt","COUPON")</f>
        <v>0.125</v>
      </c>
      <c r="C18" s="17" cm="1">
        <f t="array" ref="C18">DATEVALUE(_xll.BDP(A18&amp;" Govt","MATURITY"))</f>
        <v>46492</v>
      </c>
      <c r="D18" s="15" cm="1">
        <f t="array" aca="1" ref="D18" ca="1">_xll.BDH(A18&amp;"@BVN4 CUSIP","PX_MID",$A$1,$A$1)</f>
        <v>97.708984375</v>
      </c>
      <c r="E18" s="15" t="str">
        <f t="shared" ca="1" si="13"/>
        <v>97-226</v>
      </c>
      <c r="F18" s="15" cm="1">
        <f t="array" aca="1" ref="F18" ca="1">_xll.BDP(A18&amp;" Govt","YAS_BOND_YLD","YAS_BOND_PX",D18,"SETTLE_DT",$A$2)</f>
        <v>1.2548159999999999</v>
      </c>
      <c r="G18" s="15" cm="1">
        <f t="array" aca="1" ref="G18" ca="1">_xll.BDP(A18&amp;" Govt","REPO_FORWARD_PRICE","REPO_TERM_DATE",$A$4,"PX_ASK="&amp;D18,"SETTLE_DT",$A$2,"REPO_REPORATE="&amp;$A$5)</f>
        <v>97.699525965974999</v>
      </c>
      <c r="H18" s="15" cm="1">
        <f t="array" aca="1" ref="H18" ca="1">_xll.BDP(A18&amp;" Govt","YAS_BOND_YLD","YAS_BOND_PX",G18,"SETTLE_DT",$A$4)</f>
        <v>1.261066</v>
      </c>
      <c r="I18" s="11"/>
      <c r="J18" s="11" t="str">
        <f>+VLOOKUP(A18,mapping!$A:$B,2,FALSE)</f>
        <v>91282CEN7</v>
      </c>
      <c r="K18" s="11" cm="1">
        <f t="array" ref="K18">_xll.BDP(J18&amp;" Govt","COUPON")</f>
        <v>2.75</v>
      </c>
      <c r="L18" s="17" cm="1">
        <f t="array" ref="L18">DATEVALUE(_xll.BDP(J18&amp;" Govt","MATURITY"))</f>
        <v>46507</v>
      </c>
      <c r="M18" s="15" cm="1">
        <f t="array" aca="1" ref="M18" ca="1">_xll.BDH(J18&amp;"@BVN4 CUSIP","PX_MID",$A$1,$A$1)</f>
        <v>97.625</v>
      </c>
      <c r="N18" s="15" t="str">
        <f t="shared" ca="1" si="14"/>
        <v>97-200</v>
      </c>
      <c r="O18" s="15" cm="1">
        <f t="array" aca="1" ref="O18" ca="1">_xll.BDP(J18&amp;" Govt","YAS_BOND_YLD","YAS_BOND_PX",M18,"SETTLE_DT",$A$2)</f>
        <v>3.937147</v>
      </c>
      <c r="P18" s="15" cm="1">
        <f t="array" aca="1" ref="P18" ca="1">_xll.BDP(J18&amp;" Govt","REPO_FORWARD_PRICE","REPO_TERM_DATE",$A$4,"PX_ASK="&amp;M18,"SETTLE_DT",$A$2,"REPO_REPORATE="&amp;$A$5)</f>
        <v>97.629290718519798</v>
      </c>
      <c r="Q18" s="15" cm="1">
        <f t="array" aca="1" ref="Q18" ca="1">_xll.BDP(J18&amp;" Govt","YAS_BOND_YLD","YAS_BOND_PX",P18,"SETTLE_DT",$A$4)</f>
        <v>3.936509</v>
      </c>
      <c r="R18" s="11"/>
      <c r="S18" s="22">
        <f t="shared" ca="1" si="15"/>
        <v>268.23309999999998</v>
      </c>
      <c r="T18" s="22">
        <f t="shared" ca="1" si="16"/>
        <v>267.54430000000002</v>
      </c>
      <c r="U18" s="15" cm="1">
        <f t="array" ref="U18">_xll.BDP($A18&amp;" Govt","BASE_CPI")</f>
        <v>282.34640000000002</v>
      </c>
      <c r="V18" s="15">
        <f t="shared" ca="1" si="17"/>
        <v>1.1234599999999999</v>
      </c>
      <c r="W18" s="14" cm="1">
        <f t="array" ref="W18">_xll.BDP($A18&amp;" Govt","YAS_RISK","YIELD_BETA_ASSUMPTION=1",)</f>
        <v>2.2418275639917313</v>
      </c>
      <c r="X18" s="15">
        <f t="shared" ca="1" si="18"/>
        <v>1.5436542739745613</v>
      </c>
      <c r="Y18" s="15">
        <f t="shared" ca="1" si="1"/>
        <v>0.52973583719985018</v>
      </c>
      <c r="Z18" s="15">
        <f t="shared" ca="1" si="2"/>
        <v>-0.16396585437137648</v>
      </c>
      <c r="AA18" s="14">
        <f t="shared" ca="1" si="3"/>
        <v>24.741175030601262</v>
      </c>
      <c r="AB18" s="15" cm="1">
        <f t="array" ref="AB18">_xll.BDP(J18&amp;" Govt","YLD_YTM_MID")</f>
        <v>3.9629414000000001</v>
      </c>
      <c r="AC18" s="19">
        <v>1</v>
      </c>
      <c r="AD18" s="14">
        <f t="shared" ca="1" si="4"/>
        <v>0</v>
      </c>
      <c r="AE18" s="22">
        <f t="shared" ca="1" si="5"/>
        <v>267.38033414562864</v>
      </c>
      <c r="AF18" s="22" cm="1">
        <f t="array" ref="AF18">(AB18-_xll.BDP(A18&amp;" Govt","YLD_YTM_MID"))*100</f>
        <v>271.10566298803167</v>
      </c>
      <c r="AG18" s="22">
        <f t="shared" ca="1" si="6"/>
        <v>3.7253288424030302</v>
      </c>
      <c r="AI18" s="12">
        <v>2</v>
      </c>
      <c r="AJ18" s="12">
        <v>2</v>
      </c>
      <c r="AL18" s="13">
        <v>0</v>
      </c>
      <c r="AM18" s="13">
        <v>0</v>
      </c>
      <c r="AO18" s="14">
        <f t="shared" ca="1" si="19"/>
        <v>3.1320986113211595</v>
      </c>
      <c r="AP18" s="14">
        <f t="shared" ca="1" si="19"/>
        <v>3.1320986113211595</v>
      </c>
      <c r="AR18" s="5">
        <f t="shared" ca="1" si="7"/>
        <v>1.3204590446569253</v>
      </c>
      <c r="AS18" s="5">
        <f t="shared" ca="1" si="8"/>
        <v>1.2578170724305022</v>
      </c>
      <c r="AT18" cm="1">
        <f t="array" aca="1" ref="AT18" ca="1">_xll.BDP($A18&amp;" Govt","YAS_BOND_PX","YAS_BOND_YLD",AR18,"SETTLE_DT",$A$4)</f>
        <v>97.581078774652312</v>
      </c>
      <c r="AU18" cm="1">
        <f t="array" aca="1" ref="AU18" ca="1">_xll.BDP($A18&amp;" Govt","YAS_BOND_PX","YAS_BOND_YLD",AS18,"SETTLE_DT",$A$4)</f>
        <v>97.706010871270223</v>
      </c>
      <c r="AV18" s="15" t="str">
        <f t="shared" ca="1" si="9"/>
        <v>97-185</v>
      </c>
      <c r="AW18" s="15" t="str">
        <f t="shared" ca="1" si="10"/>
        <v>97-225</v>
      </c>
      <c r="AY18" cm="1">
        <f t="array" ref="AY18">_xll.BDP($A18&amp;" Govt","CBBT_PX_BID")</f>
        <v>97.671875</v>
      </c>
      <c r="AZ18" cm="1">
        <f t="array" ref="AZ18">_xll.BDP($A18&amp;" Govt","CBBT_PX_ASK")</f>
        <v>97.7578125</v>
      </c>
      <c r="BA18">
        <f t="shared" si="20"/>
        <v>97.71484375</v>
      </c>
      <c r="BB18" cm="1">
        <f t="array" aca="1" ref="BB18" ca="1">_xll.BDP(A18&amp;" Govt","YAS_BOND_YLD","YAS_BOND_PX",BA18,"SETTLE_DT",$A$4)</f>
        <v>1.2533920000000001</v>
      </c>
      <c r="BC18" s="15" t="str">
        <f t="shared" si="21"/>
        <v>97-214</v>
      </c>
      <c r="BD18" s="15" t="str">
        <f t="shared" si="22"/>
        <v>97-242</v>
      </c>
      <c r="BF18" s="4">
        <f t="shared" ca="1" si="23"/>
        <v>97.581078774652312</v>
      </c>
      <c r="BG18" s="4">
        <f t="shared" ca="1" si="24"/>
        <v>97.7578125</v>
      </c>
      <c r="BH18" s="26">
        <f t="shared" si="25"/>
        <v>0.125</v>
      </c>
      <c r="BI18" s="17">
        <f t="shared" si="26"/>
        <v>46492</v>
      </c>
      <c r="BJ18" s="34" t="str">
        <f t="shared" ca="1" si="27"/>
        <v>97-185</v>
      </c>
      <c r="BK18" s="35" t="str">
        <f t="shared" ca="1" si="28"/>
        <v>97-242</v>
      </c>
      <c r="BL18" s="18">
        <v>100</v>
      </c>
      <c r="BM18" s="19" t="s">
        <v>152</v>
      </c>
      <c r="BN18" s="11"/>
      <c r="BO18" s="14"/>
      <c r="BP18" s="14"/>
      <c r="BQ18" s="11"/>
      <c r="BR18" s="14"/>
      <c r="BS18" s="14"/>
      <c r="BT18" s="14"/>
      <c r="BU18" s="11"/>
      <c r="BV18" s="14"/>
      <c r="BW18" s="20">
        <v>1</v>
      </c>
      <c r="BX18" s="16"/>
      <c r="BY18" s="11"/>
      <c r="BZ18" s="11" t="str">
        <f t="shared" ref="BZ18:BZ60" si="31">IF(BM18&lt;&gt;"",BM18,BN18)</f>
        <v>CT2</v>
      </c>
      <c r="CA18" s="11" t="str">
        <f t="shared" ref="CA18:CA60" si="32">IF(BM18="",BQ18,"")</f>
        <v/>
      </c>
      <c r="CB18" s="21">
        <f t="shared" si="29"/>
        <v>121.2724190705476</v>
      </c>
      <c r="CC18" s="21" t="str">
        <f t="shared" si="30"/>
        <v>--</v>
      </c>
    </row>
    <row r="19" spans="1:81" x14ac:dyDescent="0.25">
      <c r="A19" s="19" t="s">
        <v>67</v>
      </c>
      <c r="B19" s="11" cm="1">
        <f t="array" ref="B19">_xll.BDP(A19&amp;" Govt","COUPON")</f>
        <v>0.375</v>
      </c>
      <c r="C19" s="17" cm="1">
        <f t="array" ref="C19">DATEVALUE(_xll.BDP(A19&amp;" Govt","MATURITY"))</f>
        <v>46583</v>
      </c>
      <c r="D19" s="15" cm="1">
        <f t="array" aca="1" ref="D19" ca="1">_xll.BDH(A19&amp;"@BVN4 CUSIP","PX_MID",$A$1,$A$1)</f>
        <v>98.42578125</v>
      </c>
      <c r="E19" s="15" t="str">
        <f t="shared" ca="1" si="13"/>
        <v>98-135</v>
      </c>
      <c r="F19" s="15" cm="1">
        <f t="array" aca="1" ref="F19" ca="1">_xll.BDP(A19&amp;" Govt","YAS_BOND_YLD","YAS_BOND_PX",D19,"SETTLE_DT",$A$2)</f>
        <v>1.0660320000000001</v>
      </c>
      <c r="G19" s="15" cm="1">
        <f t="array" aca="1" ref="G19" ca="1">_xll.BDP(A19&amp;" Govt","REPO_FORWARD_PRICE","REPO_TERM_DATE",$A$4,"PX_ASK="&amp;D19,"SETTLE_DT",$A$2,"REPO_REPORATE="&amp;$A$5)</f>
        <v>98.4160949610595</v>
      </c>
      <c r="H19" s="15" cm="1">
        <f t="array" aca="1" ref="H19" ca="1">_xll.BDP(A19&amp;" Govt","YAS_BOND_YLD","YAS_BOND_PX",G19,"SETTLE_DT",$A$4)</f>
        <v>1.0711550000000001</v>
      </c>
      <c r="I19" s="11"/>
      <c r="J19" s="11" t="str">
        <f>+VLOOKUP(A19,mapping!$A:$B,2,FALSE)</f>
        <v>9128282R0</v>
      </c>
      <c r="K19" s="11" cm="1">
        <f t="array" ref="K19">_xll.BDP(J19&amp;" Govt","COUPON")</f>
        <v>2.25</v>
      </c>
      <c r="L19" s="17" cm="1">
        <f t="array" ref="L19">DATEVALUE(_xll.BDP(J19&amp;" Govt","MATURITY"))</f>
        <v>46614</v>
      </c>
      <c r="M19" s="15" cm="1">
        <f t="array" aca="1" ref="M19" ca="1">_xll.BDH(J19&amp;"@BVN4 CUSIP","PX_MID",$A$1,$A$1)</f>
        <v>96.19921875</v>
      </c>
      <c r="N19" s="15" t="str">
        <f t="shared" ca="1" si="14"/>
        <v>96-063</v>
      </c>
      <c r="O19" s="15" cm="1">
        <f t="array" aca="1" ref="O19" ca="1">_xll.BDP(J19&amp;" Govt","YAS_BOND_YLD","YAS_BOND_PX",M19,"SETTLE_DT",$A$2)</f>
        <v>3.925602</v>
      </c>
      <c r="P19" s="15" cm="1">
        <f t="array" aca="1" ref="P19" ca="1">_xll.BDP(J19&amp;" Govt","REPO_FORWARD_PRICE","REPO_TERM_DATE",$A$4,"PX_ASK="&amp;M19,"SETTLE_DT",$A$2,"REPO_REPORATE="&amp;$A$5)</f>
        <v>96.204614962151453</v>
      </c>
      <c r="Q19" s="15" cm="1">
        <f t="array" aca="1" ref="Q19" ca="1">_xll.BDP(J19&amp;" Govt","YAS_BOND_YLD","YAS_BOND_PX",P19,"SETTLE_DT",$A$4)</f>
        <v>3.9250350000000003</v>
      </c>
      <c r="R19" s="11"/>
      <c r="S19" s="22">
        <f t="shared" ca="1" si="15"/>
        <v>285.95699999999999</v>
      </c>
      <c r="T19" s="22">
        <f t="shared" ca="1" si="16"/>
        <v>285.38800000000003</v>
      </c>
      <c r="U19" s="15" cm="1">
        <f t="array" ref="U19">_xll.BDP($A19&amp;" Govt","BASE_CPI")</f>
        <v>244.61839000000001</v>
      </c>
      <c r="V19" s="15">
        <f t="shared" ca="1" si="17"/>
        <v>1.2967299999999999</v>
      </c>
      <c r="W19" s="14" cm="1">
        <f t="array" ref="W19">_xll.BDP($A19&amp;" Govt","YAS_RISK","YIELD_BETA_ASSUMPTION=1",)</f>
        <v>2.9212535368561583</v>
      </c>
      <c r="X19" s="15">
        <f t="shared" ca="1" si="18"/>
        <v>1.3773696716043615</v>
      </c>
      <c r="Y19" s="15">
        <f t="shared" ca="1" si="1"/>
        <v>0.47267195020446873</v>
      </c>
      <c r="Z19" s="15">
        <f t="shared" ca="1" si="2"/>
        <v>-0.14630322268233045</v>
      </c>
      <c r="AA19" s="14">
        <f t="shared" ca="1" si="3"/>
        <v>28.766554298072965</v>
      </c>
      <c r="AB19" s="15" cm="1">
        <f t="array" ref="AB19">_xll.BDP(J19&amp;" Govt","YLD_YTM_MID")</f>
        <v>3.9503074365375772</v>
      </c>
      <c r="AC19" s="19">
        <v>1</v>
      </c>
      <c r="AD19" s="14">
        <f t="shared" ca="1" si="4"/>
        <v>0</v>
      </c>
      <c r="AE19" s="22">
        <f t="shared" ca="1" si="5"/>
        <v>285.24169677731771</v>
      </c>
      <c r="AF19" s="22" cm="1">
        <f t="array" ref="AF19">(AB19-_xll.BDP(A19&amp;" Govt","YLD_YTM_MID"))*100</f>
        <v>288.77384420163304</v>
      </c>
      <c r="AG19" s="22">
        <f t="shared" ca="1" si="6"/>
        <v>3.5321474243153261</v>
      </c>
      <c r="AI19" s="12">
        <v>2</v>
      </c>
      <c r="AJ19" s="12">
        <v>2</v>
      </c>
      <c r="AL19" s="13">
        <v>0</v>
      </c>
      <c r="AM19" s="13">
        <v>0</v>
      </c>
      <c r="AO19" s="14">
        <f t="shared" ca="1" si="19"/>
        <v>2.7743440950086442</v>
      </c>
      <c r="AP19" s="14">
        <f t="shared" ca="1" si="19"/>
        <v>2.7743440950086442</v>
      </c>
      <c r="AR19" s="5">
        <f t="shared" ca="1" si="7"/>
        <v>1.1256339097144867</v>
      </c>
      <c r="AS19" s="5">
        <f t="shared" ca="1" si="8"/>
        <v>1.0701470278143137</v>
      </c>
      <c r="AT19" cm="1">
        <f t="array" aca="1" ref="AT19" ca="1">_xll.BDP($A19&amp;" Govt","YAS_BOND_PX","YAS_BOND_YLD",AR19,"SETTLE_DT",$A$4)</f>
        <v>98.293440799796173</v>
      </c>
      <c r="AU19" cm="1">
        <f t="array" aca="1" ref="AU19" ca="1">_xll.BDP($A19&amp;" Govt","YAS_BOND_PX","YAS_BOND_YLD",AS19,"SETTLE_DT",$A$4)</f>
        <v>98.418365215690599</v>
      </c>
      <c r="AV19" s="15" t="str">
        <f t="shared" ca="1" si="9"/>
        <v>98-093</v>
      </c>
      <c r="AW19" s="15" t="str">
        <f t="shared" ca="1" si="10"/>
        <v>98-133</v>
      </c>
      <c r="AY19" cm="1">
        <f t="array" ref="AY19">_xll.BDP($A19&amp;" Govt","CBBT_PX_BID")</f>
        <v>98.390625</v>
      </c>
      <c r="AZ19" cm="1">
        <f t="array" ref="AZ19">_xll.BDP($A19&amp;" Govt","CBBT_PX_ASK")</f>
        <v>98.4765625</v>
      </c>
      <c r="BA19">
        <f t="shared" si="20"/>
        <v>98.43359375</v>
      </c>
      <c r="BB19" cm="1">
        <f t="array" aca="1" ref="BB19" ca="1">_xll.BDP(A19&amp;" Govt","YAS_BOND_YLD","YAS_BOND_PX",BA19,"SETTLE_DT",$A$4)</f>
        <v>1.0633889999999999</v>
      </c>
      <c r="BC19" s="15" t="str">
        <f t="shared" si="21"/>
        <v>98-124</v>
      </c>
      <c r="BD19" s="15" t="str">
        <f t="shared" si="22"/>
        <v>98-152</v>
      </c>
      <c r="BF19" s="4">
        <f t="shared" ca="1" si="23"/>
        <v>98.293440799796173</v>
      </c>
      <c r="BG19" s="4">
        <f t="shared" ca="1" si="24"/>
        <v>98.4765625</v>
      </c>
      <c r="BH19" s="26">
        <f t="shared" si="25"/>
        <v>0.375</v>
      </c>
      <c r="BI19" s="17">
        <f t="shared" si="26"/>
        <v>46583</v>
      </c>
      <c r="BJ19" s="34" t="str">
        <f t="shared" ca="1" si="27"/>
        <v>98-093</v>
      </c>
      <c r="BK19" s="35" t="str">
        <f t="shared" ca="1" si="28"/>
        <v>98-152</v>
      </c>
      <c r="BL19" s="18">
        <v>100</v>
      </c>
      <c r="BM19" s="19"/>
      <c r="BN19" s="11" t="s">
        <v>152</v>
      </c>
      <c r="BO19" s="14">
        <f ca="1">IF(ISBLANK(BN19),"",OFFSET($W$1,MATCH(BN19,$BM:$BM,0)-1,))</f>
        <v>2.2418275639917313</v>
      </c>
      <c r="BP19" s="14">
        <f ca="1">IF(ISBLANK(BN19),"",OFFSET($AA$1,MATCH(BN19,$BM:$BM,0)-1,))</f>
        <v>24.741175030601262</v>
      </c>
      <c r="BQ19" s="11" t="s">
        <v>153</v>
      </c>
      <c r="BR19" s="14">
        <f ca="1">IF(ISBLANK(BQ19),"",OFFSET($W$1,MATCH(BQ19,$BM:$BM,0)-1,))</f>
        <v>3.1444375489871028</v>
      </c>
      <c r="BS19" s="14">
        <f ca="1">IF(ISBLANK(BQ19),"",OFFSET($AA$1,MATCH(BQ19,$BM:$BM,0)-1,))</f>
        <v>23.72215132467905</v>
      </c>
      <c r="BT19" s="14">
        <f ca="1">IF(ISBLANK(BN19),"",50-((BU19*AA19-50*BP19-(BU19*W19-50*BO19)/BR19*BS19)/100/((BU19*AA19-(50+1)*BP19-(BU19*W19-(50+1)*BO19)/BR19*BS19)/100-(BU19*AA19-50*BP19-(BU19*W19-50*BO19)/BR19*BS19)/100)))</f>
        <v>85.944601163526428</v>
      </c>
      <c r="BU19" s="21">
        <f>+BL19</f>
        <v>100</v>
      </c>
      <c r="BV19" s="14">
        <f ca="1">IF(ISBLANK(BN19),"",(BU19*W19-BT19*BO19)/BR19)</f>
        <v>31.628034035206838</v>
      </c>
      <c r="BW19" s="16">
        <f ca="1">MIN(MAX(IF(ISBLANK(BN19),"",(BT19*BO19)/(BU19*W19)),0),1)</f>
        <v>0.65955581545319508</v>
      </c>
      <c r="BX19" s="16">
        <f ca="1">IF(ISBLANK(BN19),"",1-BW19)</f>
        <v>0.34044418454680492</v>
      </c>
      <c r="BY19" s="11"/>
      <c r="BZ19" s="11" t="str">
        <f t="shared" si="31"/>
        <v>CT2</v>
      </c>
      <c r="CA19" s="11" t="str">
        <f t="shared" si="32"/>
        <v>CT3</v>
      </c>
      <c r="CB19" s="21">
        <f t="shared" ca="1" si="29"/>
        <v>104.2270968915425</v>
      </c>
      <c r="CC19" s="21">
        <f t="shared" ca="1" si="30"/>
        <v>35.79901843734806</v>
      </c>
    </row>
    <row r="20" spans="1:81" x14ac:dyDescent="0.25">
      <c r="A20" s="19" t="s">
        <v>25</v>
      </c>
      <c r="B20" s="11" cm="1">
        <f t="array" ref="B20">_xll.BDP(A20&amp;" Govt","COUPON")</f>
        <v>1.625</v>
      </c>
      <c r="C20" s="17" cm="1">
        <f t="array" ref="C20">DATEVALUE(_xll.BDP(A20&amp;" Govt","MATURITY"))</f>
        <v>46675</v>
      </c>
      <c r="D20" s="15" cm="1">
        <f t="array" aca="1" ref="D20" ca="1">_xll.BDH(A20&amp;"@BVN4 CUSIP","PX_MID",$A$1,$A$1)</f>
        <v>101.21875</v>
      </c>
      <c r="E20" s="15" t="str">
        <f t="shared" ca="1" si="13"/>
        <v>101-070</v>
      </c>
      <c r="F20" s="15" cm="1">
        <f t="array" aca="1" ref="F20" ca="1">_xll.BDP(A20&amp;" Govt","YAS_BOND_YLD","YAS_BOND_PX",D20,"SETTLE_DT",$A$2)</f>
        <v>1.1405700000000001</v>
      </c>
      <c r="G20" s="15" cm="1">
        <f t="array" aca="1" ref="G20" ca="1">_xll.BDP(A20&amp;" Govt","REPO_FORWARD_PRICE","REPO_TERM_DATE",$A$4,"PX_ASK="&amp;D20,"SETTLE_DT",$A$2,"REPO_REPORATE="&amp;$A$5)</f>
        <v>101.20466324894603</v>
      </c>
      <c r="H20" s="15" cm="1">
        <f t="array" aca="1" ref="H20" ca="1">_xll.BDP(A20&amp;" Govt","YAS_BOND_YLD","YAS_BOND_PX",G20,"SETTLE_DT",$A$4)</f>
        <v>1.1456280000000001</v>
      </c>
      <c r="I20" s="11"/>
      <c r="J20" s="11" t="str">
        <f>+VLOOKUP(A20,mapping!$A:$B,2,FALSE)</f>
        <v>91282CFU0</v>
      </c>
      <c r="K20" s="11" cm="1">
        <f t="array" ref="K20">_xll.BDP(J20&amp;" Govt","COUPON")</f>
        <v>4.125</v>
      </c>
      <c r="L20" s="17" cm="1">
        <f t="array" ref="L20">DATEVALUE(_xll.BDP(J20&amp;" Govt","MATURITY"))</f>
        <v>46691</v>
      </c>
      <c r="M20" s="15" cm="1">
        <f t="array" aca="1" ref="M20" ca="1">_xll.BDH(J20&amp;"@BVN4 CUSIP","PX_MID",$A$1,$A$1)</f>
        <v>100.4765625</v>
      </c>
      <c r="N20" s="15" t="str">
        <f t="shared" ca="1" si="14"/>
        <v>100-152</v>
      </c>
      <c r="O20" s="15" cm="1">
        <f t="array" aca="1" ref="O20" ca="1">_xll.BDP(J20&amp;" Govt","YAS_BOND_YLD","YAS_BOND_PX",M20,"SETTLE_DT",$A$2)</f>
        <v>3.9292150000000001</v>
      </c>
      <c r="P20" s="15" cm="1">
        <f t="array" aca="1" ref="P20" ca="1">_xll.BDP(J20&amp;" Govt","REPO_FORWARD_PRICE","REPO_TERM_DATE",$A$4,"PX_ASK="&amp;M20,"SETTLE_DT",$A$2,"REPO_REPORATE="&amp;$A$5)</f>
        <v>100.47746411488907</v>
      </c>
      <c r="Q20" s="15" cm="1">
        <f t="array" aca="1" ref="Q20" ca="1">_xll.BDP(J20&amp;" Govt","YAS_BOND_YLD","YAS_BOND_PX",P20,"SETTLE_DT",$A$4)</f>
        <v>3.9286780000000001</v>
      </c>
      <c r="R20" s="11"/>
      <c r="S20" s="22">
        <f t="shared" ca="1" si="15"/>
        <v>278.86449999999996</v>
      </c>
      <c r="T20" s="22">
        <f t="shared" ca="1" si="16"/>
        <v>278.30500000000001</v>
      </c>
      <c r="U20" s="15" cm="1">
        <f t="array" ref="U20">_xll.BDP($A20&amp;" Govt","BASE_CPI")</f>
        <v>296.22858000000002</v>
      </c>
      <c r="V20" s="15">
        <f t="shared" ca="1" si="17"/>
        <v>1.07081</v>
      </c>
      <c r="W20" s="14" cm="1">
        <f t="array" ref="W20">_xll.BDP($A20&amp;" Govt","YAS_RISK","YIELD_BETA_ASSUMPTION=1",)</f>
        <v>2.7106789736803756</v>
      </c>
      <c r="X20" s="15">
        <f t="shared" ca="1" si="18"/>
        <v>1.2605379521814686</v>
      </c>
      <c r="Y20" s="15">
        <f t="shared" ca="1" si="1"/>
        <v>0.43257880905011459</v>
      </c>
      <c r="Z20" s="15">
        <f t="shared" ca="1" si="2"/>
        <v>-0.13389344089645935</v>
      </c>
      <c r="AA20" s="14">
        <f t="shared" ca="1" si="3"/>
        <v>24.428797544830079</v>
      </c>
      <c r="AB20" s="15" cm="1">
        <f t="array" ref="AB20">_xll.BDP(J20&amp;" Govt","YLD_YTM_MID")</f>
        <v>3.9546430295879471</v>
      </c>
      <c r="AC20" s="19">
        <v>1</v>
      </c>
      <c r="AD20" s="14">
        <f t="shared" ca="1" si="4"/>
        <v>0</v>
      </c>
      <c r="AE20" s="22">
        <f t="shared" ca="1" si="5"/>
        <v>278.17110655910352</v>
      </c>
      <c r="AF20" s="22" cm="1">
        <f t="array" ref="AF20">(AB20-_xll.BDP(A20&amp;" Govt","YLD_YTM_MID"))*100</f>
        <v>281.71548354527778</v>
      </c>
      <c r="AG20" s="22">
        <f t="shared" ca="1" si="6"/>
        <v>3.5443769861742567</v>
      </c>
      <c r="AI20" s="12">
        <v>2</v>
      </c>
      <c r="AJ20" s="12">
        <v>2</v>
      </c>
      <c r="AL20" s="13">
        <v>0</v>
      </c>
      <c r="AM20" s="13">
        <v>0</v>
      </c>
      <c r="AO20" s="14">
        <f t="shared" ca="1" si="19"/>
        <v>2.4689616752784613</v>
      </c>
      <c r="AP20" s="14">
        <f t="shared" ca="1" si="19"/>
        <v>2.4689616752784613</v>
      </c>
      <c r="AR20" s="5">
        <f t="shared" ca="1" si="7"/>
        <v>1.1976215807496964</v>
      </c>
      <c r="AS20" s="5">
        <f t="shared" ca="1" si="8"/>
        <v>1.1482423472441272</v>
      </c>
      <c r="AT20" cm="1">
        <f t="array" aca="1" ref="AT20" ca="1">_xll.BDP($A20&amp;" Govt","YAS_BOND_PX","YAS_BOND_YLD",AR20,"SETTLE_DT",$A$4)</f>
        <v>101.07312110356091</v>
      </c>
      <c r="AU20" cm="1">
        <f t="array" aca="1" ref="AU20" ca="1">_xll.BDP($A20&amp;" Govt","YAS_BOND_PX","YAS_BOND_YLD",AS20,"SETTLE_DT",$A$4)</f>
        <v>101.19804356662831</v>
      </c>
      <c r="AV20" s="15" t="str">
        <f t="shared" ca="1" si="9"/>
        <v>101-023</v>
      </c>
      <c r="AW20" s="15" t="str">
        <f t="shared" ca="1" si="10"/>
        <v>101-063</v>
      </c>
      <c r="AY20" cm="1">
        <f t="array" ref="AY20">_xll.BDP($A20&amp;" Govt","CBBT_PX_BID")</f>
        <v>101.1875</v>
      </c>
      <c r="AZ20" cm="1">
        <f t="array" ref="AZ20">_xll.BDP($A20&amp;" Govt","CBBT_PX_ASK")</f>
        <v>101.265625</v>
      </c>
      <c r="BA20">
        <f t="shared" si="20"/>
        <v>101.2265625</v>
      </c>
      <c r="BB20" cm="1">
        <f t="array" aca="1" ref="BB20" ca="1">_xll.BDP(A20&amp;" Govt","YAS_BOND_YLD","YAS_BOND_PX",BA20,"SETTLE_DT",$A$4)</f>
        <v>1.1369799999999999</v>
      </c>
      <c r="BC20" s="15" t="str">
        <f t="shared" si="21"/>
        <v>101-060</v>
      </c>
      <c r="BD20" s="15" t="str">
        <f t="shared" si="22"/>
        <v>101-084</v>
      </c>
      <c r="BF20" s="4">
        <f t="shared" ca="1" si="23"/>
        <v>101.07312110356091</v>
      </c>
      <c r="BG20" s="4">
        <f t="shared" ca="1" si="24"/>
        <v>101.265625</v>
      </c>
      <c r="BH20" s="26">
        <f t="shared" si="25"/>
        <v>1.625</v>
      </c>
      <c r="BI20" s="17">
        <f t="shared" si="26"/>
        <v>46675</v>
      </c>
      <c r="BJ20" s="34" t="str">
        <f t="shared" ca="1" si="27"/>
        <v>101-023</v>
      </c>
      <c r="BK20" s="35" t="str">
        <f t="shared" ca="1" si="28"/>
        <v>101-084</v>
      </c>
      <c r="BL20" s="18">
        <v>100</v>
      </c>
      <c r="BM20" s="19"/>
      <c r="BN20" s="11" t="s">
        <v>152</v>
      </c>
      <c r="BO20" s="14">
        <f ca="1">IF(ISBLANK(BN20),"",OFFSET($W$1,MATCH(BN20,$BM:$BM,0)-1,))</f>
        <v>2.2418275639917313</v>
      </c>
      <c r="BP20" s="14">
        <f ca="1">IF(ISBLANK(BN20),"",OFFSET($AA$1,MATCH(BN20,$BM:$BM,0)-1,))</f>
        <v>24.741175030601262</v>
      </c>
      <c r="BQ20" s="11" t="s">
        <v>153</v>
      </c>
      <c r="BR20" s="14">
        <f ca="1">IF(ISBLANK(BQ20),"",OFFSET($W$1,MATCH(BQ20,$BM:$BM,0)-1,))</f>
        <v>3.1444375489871028</v>
      </c>
      <c r="BS20" s="14">
        <f ca="1">IF(ISBLANK(BQ20),"",OFFSET($AA$1,MATCH(BQ20,$BM:$BM,0)-1,))</f>
        <v>23.72215132467905</v>
      </c>
      <c r="BT20" s="14">
        <f ca="1">IF(ISBLANK(BN20),"",50-((BU20*AA20-50*BP20-(BU20*W20-50*BO20)/BR20*BS20)/100/((BU20*AA20-(50+1)*BP20-(BU20*W20-(50+1)*BO20)/BR20*BS20)/100-(BU20*AA20-50*BP20-(BU20*W20-50*BO20)/BR20*BS20)/100)))</f>
        <v>50.827254862514792</v>
      </c>
      <c r="BU20" s="21">
        <f>+BL20</f>
        <v>100</v>
      </c>
      <c r="BV20" s="14">
        <f ca="1">IF(ISBLANK(BN20),"",(BU20*W20-BT20*BO20)/BR20)</f>
        <v>49.96822292299359</v>
      </c>
      <c r="BW20" s="16">
        <f ca="1">MIN(MAX(IF(ISBLANK(BN20),"",(BT20*BO20)/(BU20*W20)),0),1)</f>
        <v>0.42035940832237456</v>
      </c>
      <c r="BX20" s="16">
        <f ca="1">IF(ISBLANK(BN20),"",1-BW20)</f>
        <v>0.57964059167762549</v>
      </c>
      <c r="BY20" s="11"/>
      <c r="BZ20" s="11" t="str">
        <f t="shared" si="31"/>
        <v>CT2</v>
      </c>
      <c r="CA20" s="11" t="str">
        <f t="shared" si="32"/>
        <v>CT3</v>
      </c>
      <c r="CB20" s="21">
        <f t="shared" ca="1" si="29"/>
        <v>61.639441518924222</v>
      </c>
      <c r="CC20" s="21">
        <f t="shared" ca="1" si="30"/>
        <v>56.557841429870187</v>
      </c>
    </row>
    <row r="21" spans="1:81" x14ac:dyDescent="0.25">
      <c r="A21" s="19" t="s">
        <v>65</v>
      </c>
      <c r="B21" s="11" cm="1">
        <f t="array" ref="B21">_xll.BDP(A21&amp;" Govt","COUPON")</f>
        <v>0.5</v>
      </c>
      <c r="C21" s="17" cm="1">
        <f t="array" ref="C21">DATEVALUE(_xll.BDP(A21&amp;" Govt","MATURITY"))</f>
        <v>46767</v>
      </c>
      <c r="D21" s="15" cm="1">
        <f t="array" aca="1" ref="D21" ca="1">_xll.BDH(A21&amp;"@BVN4 CUSIP","PX_MID",$A$1,$A$1)</f>
        <v>97.720703125</v>
      </c>
      <c r="E21" s="15" t="str">
        <f t="shared" ca="1" si="13"/>
        <v>97-231</v>
      </c>
      <c r="F21" s="15" cm="1">
        <f t="array" aca="1" ref="F21" ca="1">_xll.BDP(A21&amp;" Govt","YAS_BOND_YLD","YAS_BOND_PX",D21,"SETTLE_DT",$A$2)</f>
        <v>1.3283670000000001</v>
      </c>
      <c r="G21" s="15" cm="1">
        <f t="array" aca="1" ref="G21" ca="1">_xll.BDP(A21&amp;" Govt","REPO_FORWARD_PRICE","REPO_TERM_DATE",$A$4,"PX_ASK="&amp;D21,"SETTLE_DT",$A$2,"REPO_REPORATE="&amp;$A$5)</f>
        <v>97.71056096088752</v>
      </c>
      <c r="H21" s="15" cm="1">
        <f t="array" aca="1" ref="H21" ca="1">_xll.BDP(A21&amp;" Govt","YAS_BOND_YLD","YAS_BOND_PX",G21,"SETTLE_DT",$A$4)</f>
        <v>1.332918</v>
      </c>
      <c r="I21" s="11"/>
      <c r="J21" s="11" t="str">
        <f>+VLOOKUP(A21,mapping!$A:$B,2,FALSE)</f>
        <v>9128283W8</v>
      </c>
      <c r="K21" s="11" cm="1">
        <f t="array" ref="K21">_xll.BDP(J21&amp;" Govt","COUPON")</f>
        <v>2.75</v>
      </c>
      <c r="L21" s="17" cm="1">
        <f t="array" ref="L21">DATEVALUE(_xll.BDP(J21&amp;" Govt","MATURITY"))</f>
        <v>46798</v>
      </c>
      <c r="M21" s="15" cm="1">
        <f t="array" aca="1" ref="M21" ca="1">_xll.BDH(J21&amp;"@BVN4 CUSIP","PX_MID",$A$1,$A$1)</f>
        <v>96.7890625</v>
      </c>
      <c r="N21" s="15" t="str">
        <f t="shared" ca="1" si="14"/>
        <v>96-252</v>
      </c>
      <c r="O21" s="15" cm="1">
        <f t="array" aca="1" ref="O21" ca="1">_xll.BDP(J21&amp;" Govt","YAS_BOND_YLD","YAS_BOND_PX",M21,"SETTLE_DT",$A$2)</f>
        <v>3.9324430000000001</v>
      </c>
      <c r="P21" s="15" cm="1">
        <f t="array" aca="1" ref="P21" ca="1">_xll.BDP(J21&amp;" Govt","REPO_FORWARD_PRICE","REPO_TERM_DATE",$A$4,"PX_ASK="&amp;M21,"SETTLE_DT",$A$2,"REPO_REPORATE="&amp;$A$5)</f>
        <v>96.793154677590493</v>
      </c>
      <c r="Q21" s="15" cm="1">
        <f t="array" aca="1" ref="Q21" ca="1">_xll.BDP(J21&amp;" Govt","YAS_BOND_YLD","YAS_BOND_PX",P21,"SETTLE_DT",$A$4)</f>
        <v>3.9319739999999999</v>
      </c>
      <c r="R21" s="11"/>
      <c r="S21" s="22">
        <f t="shared" ca="1" si="15"/>
        <v>260.4076</v>
      </c>
      <c r="T21" s="22">
        <f t="shared" ca="1" si="16"/>
        <v>259.90559999999999</v>
      </c>
      <c r="U21" s="15" cm="1">
        <f t="array" ref="U21">_xll.BDP($A21&amp;" Govt","BASE_CPI")</f>
        <v>246.66570999999999</v>
      </c>
      <c r="V21" s="15">
        <f t="shared" ca="1" si="17"/>
        <v>1.2859700000000001</v>
      </c>
      <c r="W21" s="14" cm="1">
        <f t="array" ref="W21">_xll.BDP($A21&amp;" Govt","YAS_RISK","YIELD_BETA_ASSUMPTION=1",)</f>
        <v>3.4857720426714152</v>
      </c>
      <c r="X21" s="15">
        <f t="shared" ca="1" si="18"/>
        <v>1.1365245469382002</v>
      </c>
      <c r="Y21" s="15">
        <f t="shared" ca="1" si="1"/>
        <v>0.39002112877278217</v>
      </c>
      <c r="Z21" s="15">
        <f t="shared" ca="1" si="2"/>
        <v>-0.1207208255725236</v>
      </c>
      <c r="AA21" s="14">
        <f t="shared" ca="1" si="3"/>
        <v>28.323432223485668</v>
      </c>
      <c r="AB21" s="15" cm="1">
        <f t="array" ref="AB21">_xll.BDP(J21&amp;" Govt","YLD_YTM_MID")</f>
        <v>3.9574030754127234</v>
      </c>
      <c r="AC21" s="19">
        <v>0.875</v>
      </c>
      <c r="AD21" s="14">
        <f t="shared" ca="1" si="4"/>
        <v>0.31786344265904432</v>
      </c>
      <c r="AE21" s="22">
        <f t="shared" ca="1" si="5"/>
        <v>260.10274261708651</v>
      </c>
      <c r="AF21" s="22" cm="1">
        <f t="array" ref="AF21">(AB21-_xll.BDP(A21&amp;" Govt","YLD_YTM_MID"))*100</f>
        <v>262.97556782434572</v>
      </c>
      <c r="AG21" s="22">
        <f t="shared" ca="1" si="6"/>
        <v>2.8728252072592113</v>
      </c>
      <c r="AI21" s="12">
        <v>2</v>
      </c>
      <c r="AJ21" s="12">
        <v>2</v>
      </c>
      <c r="AL21" s="13">
        <v>0</v>
      </c>
      <c r="AM21" s="13">
        <v>0</v>
      </c>
      <c r="AO21" s="14">
        <f t="shared" ca="1" si="19"/>
        <v>2.305748167582522</v>
      </c>
      <c r="AP21" s="14">
        <f t="shared" ca="1" si="19"/>
        <v>2.305748167582522</v>
      </c>
      <c r="AR21" s="5">
        <f t="shared" ca="1" si="7"/>
        <v>1.3794331309176835</v>
      </c>
      <c r="AS21" s="5">
        <f t="shared" ca="1" si="8"/>
        <v>1.3333181675660333</v>
      </c>
      <c r="AT21" cm="1">
        <f t="array" aca="1" ref="AT21" ca="1">_xll.BDP($A21&amp;" Govt","YAS_BOND_PX","YAS_BOND_YLD",AR21,"SETTLE_DT",$A$4)</f>
        <v>97.584545590196683</v>
      </c>
      <c r="AU21" cm="1">
        <f t="array" aca="1" ref="AU21" ca="1">_xll.BDP($A21&amp;" Govt","YAS_BOND_PX","YAS_BOND_YLD",AS21,"SETTLE_DT",$A$4)</f>
        <v>97.709475040881216</v>
      </c>
      <c r="AV21" s="15" t="str">
        <f t="shared" ca="1" si="9"/>
        <v>97-186</v>
      </c>
      <c r="AW21" s="15" t="str">
        <f t="shared" ca="1" si="10"/>
        <v>97-226</v>
      </c>
      <c r="AY21" cm="1">
        <f t="array" ref="AY21">_xll.BDP($A21&amp;" Govt","CBBT_PX_BID")</f>
        <v>97.6796875</v>
      </c>
      <c r="AZ21" cm="1">
        <f t="array" ref="AZ21">_xll.BDP($A21&amp;" Govt","CBBT_PX_ASK")</f>
        <v>97.765625</v>
      </c>
      <c r="BA21">
        <f t="shared" si="20"/>
        <v>97.72265625</v>
      </c>
      <c r="BB21" cm="1">
        <f t="array" aca="1" ref="BB21" ca="1">_xll.BDP(A21&amp;" Govt","YAS_BOND_YLD","YAS_BOND_PX",BA21,"SETTLE_DT",$A$4)</f>
        <v>1.328457</v>
      </c>
      <c r="BC21" s="15" t="str">
        <f t="shared" si="21"/>
        <v>97-216</v>
      </c>
      <c r="BD21" s="15" t="str">
        <f t="shared" si="22"/>
        <v>97-244</v>
      </c>
      <c r="BF21" s="4">
        <f t="shared" ca="1" si="23"/>
        <v>97.584545590196683</v>
      </c>
      <c r="BG21" s="4">
        <f t="shared" ca="1" si="24"/>
        <v>97.765625</v>
      </c>
      <c r="BH21" s="26">
        <f t="shared" si="25"/>
        <v>0.5</v>
      </c>
      <c r="BI21" s="17">
        <f t="shared" si="26"/>
        <v>46767</v>
      </c>
      <c r="BJ21" s="34" t="str">
        <f t="shared" ca="1" si="27"/>
        <v>97-186</v>
      </c>
      <c r="BK21" s="35" t="str">
        <f t="shared" ca="1" si="28"/>
        <v>97-244</v>
      </c>
      <c r="BL21" s="18">
        <v>100</v>
      </c>
      <c r="BM21" s="19"/>
      <c r="BN21" s="11" t="s">
        <v>152</v>
      </c>
      <c r="BO21" s="14">
        <f ca="1">IF(ISBLANK(BN21),"",OFFSET($W$1,MATCH(BN21,$BM:$BM,0)-1,))</f>
        <v>2.2418275639917313</v>
      </c>
      <c r="BP21" s="14">
        <f ca="1">IF(ISBLANK(BN21),"",OFFSET($AA$1,MATCH(BN21,$BM:$BM,0)-1,))</f>
        <v>24.741175030601262</v>
      </c>
      <c r="BQ21" s="11" t="s">
        <v>153</v>
      </c>
      <c r="BR21" s="14">
        <f ca="1">IF(ISBLANK(BQ21),"",OFFSET($W$1,MATCH(BQ21,$BM:$BM,0)-1,))</f>
        <v>3.1444375489871028</v>
      </c>
      <c r="BS21" s="14">
        <f ca="1">IF(ISBLANK(BQ21),"",OFFSET($AA$1,MATCH(BQ21,$BM:$BM,0)-1,))</f>
        <v>23.72215132467905</v>
      </c>
      <c r="BT21" s="14">
        <f ca="1">IF(ISBLANK(BN21),"",50-((BU21*AA21-50*BP21-(BU21*W21-50*BO21)/BR21*BS21)/100/((BU21*AA21-(50+1)*BP21-(BU21*W21-(50+1)*BO21)/BR21*BS21)/100-(BU21*AA21-50*BP21-(BU21*W21-50*BO21)/BR21*BS21)/100)))</f>
        <v>25.882451298186691</v>
      </c>
      <c r="BU21" s="21">
        <f>+BL21</f>
        <v>100</v>
      </c>
      <c r="BV21" s="14">
        <f ca="1">IF(ISBLANK(BN21),"",(BU21*W21-BT21*BO21)/BR21)</f>
        <v>92.40228403225467</v>
      </c>
      <c r="BW21" s="16">
        <f ca="1">MIN(MAX(IF(ISBLANK(BN21),"",(BT21*BO21)/(BU21*W21)),0),1)</f>
        <v>0.16645951609469059</v>
      </c>
      <c r="BX21" s="16">
        <f ca="1">IF(ISBLANK(BN21),"",1-BW21)</f>
        <v>0.83354048390530944</v>
      </c>
      <c r="BY21" s="11"/>
      <c r="BZ21" s="11" t="str">
        <f t="shared" si="31"/>
        <v>CT2</v>
      </c>
      <c r="CA21" s="11" t="str">
        <f t="shared" si="32"/>
        <v>CT3</v>
      </c>
      <c r="CB21" s="21">
        <f t="shared" ca="1" si="29"/>
        <v>27.464740453558935</v>
      </c>
      <c r="CC21" s="21">
        <f t="shared" ca="1" si="30"/>
        <v>91.514451476381794</v>
      </c>
    </row>
    <row r="22" spans="1:81" x14ac:dyDescent="0.25">
      <c r="A22" s="19" t="s">
        <v>95</v>
      </c>
      <c r="B22" s="11" cm="1">
        <f t="array" ref="B22">_xll.BDP(A22&amp;" Govt","COUPON")</f>
        <v>1.75</v>
      </c>
      <c r="C22" s="17" cm="1">
        <f t="array" ref="C22">DATEVALUE(_xll.BDP(A22&amp;" Govt","MATURITY"))</f>
        <v>46767</v>
      </c>
      <c r="D22" s="15" cm="1">
        <f t="array" aca="1" ref="D22" ca="1">_xll.BDH(A22&amp;"@BVN4 CUSIP","PX_MID",$A$1,$A$1)</f>
        <v>101.1640625</v>
      </c>
      <c r="E22" s="15" t="str">
        <f t="shared" ca="1" si="13"/>
        <v>101-052</v>
      </c>
      <c r="F22" s="15" cm="1">
        <f t="array" aca="1" ref="F22" ca="1">_xll.BDP(A22&amp;" Govt","YAS_BOND_YLD","YAS_BOND_PX",D22,"SETTLE_DT",$A$2)</f>
        <v>1.326673</v>
      </c>
      <c r="G22" s="15" cm="1">
        <f t="array" aca="1" ref="G22" ca="1">_xll.BDP(A22&amp;" Govt","REPO_FORWARD_PRICE","REPO_TERM_DATE",$A$4,"PX_ASK="&amp;D22,"SETTLE_DT",$A$2,"REPO_REPORATE="&amp;$A$5)</f>
        <v>101.14999734758895</v>
      </c>
      <c r="H22" s="15" cm="1">
        <f t="array" aca="1" ref="H22" ca="1">_xll.BDP(A22&amp;" Govt","YAS_BOND_YLD","YAS_BOND_PX",G22,"SETTLE_DT",$A$4)</f>
        <v>1.3313470000000001</v>
      </c>
      <c r="I22" s="11"/>
      <c r="J22" s="11" t="str">
        <f>+VLOOKUP(A22,mapping!$A:$B,2,FALSE)</f>
        <v>9128283W8</v>
      </c>
      <c r="K22" s="11" cm="1">
        <f t="array" ref="K22">_xll.BDP(J22&amp;" Govt","COUPON")</f>
        <v>2.75</v>
      </c>
      <c r="L22" s="17" cm="1">
        <f t="array" ref="L22">DATEVALUE(_xll.BDP(J22&amp;" Govt","MATURITY"))</f>
        <v>46798</v>
      </c>
      <c r="M22" s="15" cm="1">
        <f t="array" aca="1" ref="M22" ca="1">_xll.BDH(J22&amp;"@BVN4 CUSIP","PX_MID",$A$1,$A$1)</f>
        <v>96.7890625</v>
      </c>
      <c r="N22" s="15" t="str">
        <f t="shared" ca="1" si="14"/>
        <v>96-252</v>
      </c>
      <c r="O22" s="15" cm="1">
        <f t="array" aca="1" ref="O22" ca="1">_xll.BDP(J22&amp;" Govt","YAS_BOND_YLD","YAS_BOND_PX",M22,"SETTLE_DT",$A$2)</f>
        <v>3.9324430000000001</v>
      </c>
      <c r="P22" s="15" cm="1">
        <f t="array" aca="1" ref="P22" ca="1">_xll.BDP(J22&amp;" Govt","REPO_FORWARD_PRICE","REPO_TERM_DATE",$A$4,"PX_ASK="&amp;M22,"SETTLE_DT",$A$2,"REPO_REPORATE="&amp;$A$5)</f>
        <v>96.793154677590493</v>
      </c>
      <c r="Q22" s="15" cm="1">
        <f t="array" aca="1" ref="Q22" ca="1">_xll.BDP(J22&amp;" Govt","YAS_BOND_YLD","YAS_BOND_PX",P22,"SETTLE_DT",$A$4)</f>
        <v>3.9319739999999999</v>
      </c>
      <c r="R22" s="11"/>
      <c r="S22" s="22">
        <f t="shared" ca="1" si="15"/>
        <v>260.577</v>
      </c>
      <c r="T22" s="22">
        <f t="shared" ca="1" si="16"/>
        <v>260.06270000000001</v>
      </c>
      <c r="U22" s="15" cm="1">
        <f t="array" ref="U22">_xll.BDP($A22&amp;" Govt","BASE_CPI")</f>
        <v>209.49645000000001</v>
      </c>
      <c r="V22" s="15">
        <f t="shared" ca="1" si="17"/>
        <v>1.51413</v>
      </c>
      <c r="W22" s="14" cm="1">
        <f t="array" ref="W22">_xll.BDP($A22&amp;" Govt","YAS_RISK","YIELD_BETA_ASSUMPTION=1",)</f>
        <v>4.1902550403405217</v>
      </c>
      <c r="X22" s="15">
        <f t="shared" ca="1" si="18"/>
        <v>1.1524156196269428</v>
      </c>
      <c r="Y22" s="15">
        <f t="shared" ca="1" si="1"/>
        <v>0.39547446818737797</v>
      </c>
      <c r="Z22" s="15">
        <f t="shared" ca="1" si="2"/>
        <v>-0.12240876396275557</v>
      </c>
      <c r="AA22" s="14">
        <f t="shared" ca="1" si="3"/>
        <v>34.523726742669744</v>
      </c>
      <c r="AB22" s="15" cm="1">
        <f t="array" ref="AB22">_xll.BDP(J22&amp;" Govt","YLD_YTM_MID")</f>
        <v>3.9574030754127234</v>
      </c>
      <c r="AC22" s="19">
        <v>0.875</v>
      </c>
      <c r="AD22" s="14">
        <f t="shared" ca="1" si="4"/>
        <v>0.31786344265904432</v>
      </c>
      <c r="AE22" s="22">
        <f t="shared" ca="1" si="5"/>
        <v>260.25815467869626</v>
      </c>
      <c r="AF22" s="22" cm="1">
        <f t="array" ref="AF22">(AB22-_xll.BDP(A22&amp;" Govt","YLD_YTM_MID"))*100</f>
        <v>263.49589807589075</v>
      </c>
      <c r="AG22" s="22">
        <f t="shared" ca="1" si="6"/>
        <v>3.2377433971944924</v>
      </c>
      <c r="AI22" s="12">
        <v>3</v>
      </c>
      <c r="AJ22" s="12">
        <v>3</v>
      </c>
      <c r="AL22" s="13">
        <v>0</v>
      </c>
      <c r="AM22" s="13">
        <v>0</v>
      </c>
      <c r="AO22" s="14">
        <f t="shared" ca="1" si="19"/>
        <v>3.3876145039721606</v>
      </c>
      <c r="AP22" s="14">
        <f t="shared" ca="1" si="19"/>
        <v>3.3876145039721606</v>
      </c>
      <c r="AR22" s="5">
        <f t="shared" ca="1" si="7"/>
        <v>1.3886976736654824</v>
      </c>
      <c r="AS22" s="5">
        <f t="shared" ca="1" si="8"/>
        <v>1.3209453835860392</v>
      </c>
      <c r="AT22" cm="1">
        <f t="array" aca="1" ref="AT22" ca="1">_xll.BDP($A22&amp;" Govt","YAS_BOND_PX","YAS_BOND_YLD",AR22,"SETTLE_DT",$A$4)</f>
        <v>100.99140694679865</v>
      </c>
      <c r="AU22" cm="1">
        <f t="array" aca="1" ref="AU22" ca="1">_xll.BDP($A22&amp;" Govt","YAS_BOND_PX","YAS_BOND_YLD",AS22,"SETTLE_DT",$A$4)</f>
        <v>101.17879242010893</v>
      </c>
      <c r="AV22" s="15" t="str">
        <f t="shared" ca="1" si="9"/>
        <v>100-316</v>
      </c>
      <c r="AW22" s="15" t="str">
        <f t="shared" ca="1" si="10"/>
        <v>101-056</v>
      </c>
      <c r="AY22" cm="1">
        <f t="array" ref="AY22">_xll.BDP($A22&amp;" Govt","CBBT_PX_BID")</f>
        <v>101.1171875</v>
      </c>
      <c r="AZ22" cm="1">
        <f t="array" ref="AZ22">_xll.BDP($A22&amp;" Govt","CBBT_PX_ASK")</f>
        <v>101.234375</v>
      </c>
      <c r="BA22">
        <f t="shared" si="20"/>
        <v>101.17578125</v>
      </c>
      <c r="BB22" cm="1">
        <f t="array" aca="1" ref="BB22" ca="1">_xll.BDP(A22&amp;" Govt","YAS_BOND_YLD","YAS_BOND_PX",BA22,"SETTLE_DT",$A$4)</f>
        <v>1.322033</v>
      </c>
      <c r="BC22" s="15" t="str">
        <f t="shared" si="21"/>
        <v>101-036</v>
      </c>
      <c r="BD22" s="15" t="str">
        <f t="shared" si="22"/>
        <v>101-074</v>
      </c>
      <c r="BF22" s="4">
        <f t="shared" ca="1" si="23"/>
        <v>100.99140694679865</v>
      </c>
      <c r="BG22" s="4">
        <f t="shared" ca="1" si="24"/>
        <v>101.234375</v>
      </c>
      <c r="BH22" s="26">
        <f t="shared" si="25"/>
        <v>1.75</v>
      </c>
      <c r="BI22" s="17">
        <f t="shared" si="26"/>
        <v>46767</v>
      </c>
      <c r="BJ22" s="34" t="str">
        <f t="shared" ca="1" si="27"/>
        <v>100-316</v>
      </c>
      <c r="BK22" s="35" t="str">
        <f t="shared" ca="1" si="28"/>
        <v>101-074</v>
      </c>
      <c r="BL22" s="18">
        <v>100</v>
      </c>
      <c r="BM22" s="19"/>
      <c r="BN22" s="11" t="s">
        <v>152</v>
      </c>
      <c r="BO22" s="14">
        <f ca="1">IF(ISBLANK(BN22),"",OFFSET($W$1,MATCH(BN22,$BM:$BM,0)-1,))</f>
        <v>2.2418275639917313</v>
      </c>
      <c r="BP22" s="14">
        <f ca="1">IF(ISBLANK(BN22),"",OFFSET($AA$1,MATCH(BN22,$BM:$BM,0)-1,))</f>
        <v>24.741175030601262</v>
      </c>
      <c r="BQ22" s="11" t="s">
        <v>153</v>
      </c>
      <c r="BR22" s="14">
        <f ca="1">IF(ISBLANK(BQ22),"",OFFSET($W$1,MATCH(BQ22,$BM:$BM,0)-1,))</f>
        <v>3.1444375489871028</v>
      </c>
      <c r="BS22" s="14">
        <f ca="1">IF(ISBLANK(BQ22),"",OFFSET($AA$1,MATCH(BQ22,$BM:$BM,0)-1,))</f>
        <v>23.72215132467905</v>
      </c>
      <c r="BT22" s="14">
        <f ca="1">IF(ISBLANK(BN22),"",50-((BU22*AA22-50*BP22-(BU22*W22-50*BO22)/BR22*BS22)/100/((BU22*AA22-(50+1)*BP22-(BU22*W22-(50+1)*BO22)/BR22*BS22)/100-(BU22*AA22-50*BP22-(BU22*W22-50*BO22)/BR22*BS22)/100)))</f>
        <v>37.194502461518297</v>
      </c>
      <c r="BU22" s="21">
        <f>+BL22</f>
        <v>100</v>
      </c>
      <c r="BV22" s="14">
        <f ca="1">IF(ISBLANK(BN22),"",(BU22*W22-BT22*BO22)/BR22)</f>
        <v>106.74145628841644</v>
      </c>
      <c r="BW22" s="16">
        <f ca="1">MIN(MAX(IF(ISBLANK(BN22),"",(BT22*BO22)/(BU22*W22)),0),1)</f>
        <v>0.19899423792689674</v>
      </c>
      <c r="BX22" s="16">
        <f ca="1">IF(ISBLANK(BN22),"",1-BW22)</f>
        <v>0.80100576207310326</v>
      </c>
      <c r="BY22" s="11"/>
      <c r="BZ22" s="11" t="str">
        <f t="shared" si="31"/>
        <v>CT2</v>
      </c>
      <c r="CA22" s="11" t="str">
        <f t="shared" si="32"/>
        <v>CT3</v>
      </c>
      <c r="CB22" s="21">
        <f t="shared" ca="1" si="29"/>
        <v>39.468338784295405</v>
      </c>
      <c r="CC22" s="21">
        <f t="shared" ca="1" si="30"/>
        <v>105.71584809110111</v>
      </c>
    </row>
    <row r="23" spans="1:81" x14ac:dyDescent="0.25">
      <c r="A23" s="19" t="s">
        <v>21</v>
      </c>
      <c r="B23" s="11" cm="1">
        <f t="array" ref="B23">_xll.BDP(A23&amp;" Govt","COUPON")</f>
        <v>1.25</v>
      </c>
      <c r="C23" s="17" cm="1">
        <f t="array" ref="C23">DATEVALUE(_xll.BDP(A23&amp;" Govt","MATURITY"))</f>
        <v>46858</v>
      </c>
      <c r="D23" s="15" cm="1">
        <f t="array" aca="1" ref="D23" ca="1">_xll.BDH(A23&amp;"@BVN4 CUSIP","PX_MID",$A$1,$A$1)</f>
        <v>99.525390625</v>
      </c>
      <c r="E23" s="15" t="str">
        <f t="shared" ca="1" si="13"/>
        <v>99-167</v>
      </c>
      <c r="F23" s="15" cm="1">
        <f t="array" aca="1" ref="F23" ca="1">_xll.BDP(A23&amp;" Govt","YAS_BOND_YLD","YAS_BOND_PX",D23,"SETTLE_DT",$A$2)</f>
        <v>1.408914</v>
      </c>
      <c r="G23" s="15" cm="1">
        <f t="array" aca="1" ref="G23" ca="1">_xll.BDP(A23&amp;" Govt","REPO_FORWARD_PRICE","REPO_TERM_DATE",$A$4,"PX_ASK="&amp;D23,"SETTLE_DT",$A$2,"REPO_REPORATE="&amp;$A$5)</f>
        <v>99.512239547932467</v>
      </c>
      <c r="H23" s="15" cm="1">
        <f t="array" aca="1" ref="H23" ca="1">_xll.BDP(A23&amp;" Govt","YAS_BOND_YLD","YAS_BOND_PX",G23,"SETTLE_DT",$A$4)</f>
        <v>1.4134789999999999</v>
      </c>
      <c r="I23" s="11"/>
      <c r="J23" s="11" t="str">
        <f>+VLOOKUP(A23,mapping!$A:$B,2,FALSE)</f>
        <v>91282CHA2</v>
      </c>
      <c r="K23" s="11" cm="1">
        <f t="array" ref="K23">_xll.BDP(J23&amp;" Govt","COUPON")</f>
        <v>3.5</v>
      </c>
      <c r="L23" s="17" cm="1">
        <f t="array" ref="L23">DATEVALUE(_xll.BDP(J23&amp;" Govt","MATURITY"))</f>
        <v>46873</v>
      </c>
      <c r="M23" s="15" cm="1">
        <f t="array" aca="1" ref="M23" ca="1">_xll.BDH(J23&amp;"@BVN4 CUSIP","PX_MID",$A$1,$A$1)</f>
        <v>98.70703125</v>
      </c>
      <c r="N23" s="15" t="str">
        <f t="shared" ca="1" si="14"/>
        <v>98-225</v>
      </c>
      <c r="O23" s="15" cm="1">
        <f t="array" aca="1" ref="O23" ca="1">_xll.BDP(J23&amp;" Govt","YAS_BOND_YLD","YAS_BOND_PX",M23,"SETTLE_DT",$A$2)</f>
        <v>3.9459499999999998</v>
      </c>
      <c r="P23" s="15" cm="1">
        <f t="array" aca="1" ref="P23" ca="1">_xll.BDP(J23&amp;" Govt","REPO_FORWARD_PRICE","REPO_TERM_DATE",$A$4,"PX_ASK="&amp;M23,"SETTLE_DT",$A$2,"REPO_REPORATE="&amp;$A$5)</f>
        <v>98.709416365326092</v>
      </c>
      <c r="Q23" s="15" cm="1">
        <f t="array" aca="1" ref="Q23" ca="1">_xll.BDP(J23&amp;" Govt","YAS_BOND_YLD","YAS_BOND_PX",P23,"SETTLE_DT",$A$4)</f>
        <v>3.9455149999999999</v>
      </c>
      <c r="R23" s="11"/>
      <c r="S23" s="22">
        <f t="shared" ca="1" si="15"/>
        <v>253.70359999999997</v>
      </c>
      <c r="T23" s="22">
        <f t="shared" ca="1" si="16"/>
        <v>253.20359999999997</v>
      </c>
      <c r="U23" s="15" cm="1">
        <f t="array" ref="U23">_xll.BDP($A23&amp;" Govt","BASE_CPI")</f>
        <v>299.94932999999997</v>
      </c>
      <c r="V23" s="15">
        <f t="shared" ca="1" si="17"/>
        <v>1.0575300000000001</v>
      </c>
      <c r="W23" s="14" cm="1">
        <f t="array" ref="W23">_xll.BDP($A23&amp;" Govt","YAS_RISK","YIELD_BETA_ASSUMPTION=1",)</f>
        <v>3.1444375489871028</v>
      </c>
      <c r="X23" s="15">
        <f t="shared" ca="1" si="18"/>
        <v>1.0552200168538122</v>
      </c>
      <c r="Y23" s="15">
        <f t="shared" ca="1" si="1"/>
        <v>0.36211985318372275</v>
      </c>
      <c r="Z23" s="15">
        <f t="shared" ca="1" si="2"/>
        <v>-0.11208471646162456</v>
      </c>
      <c r="AA23" s="14">
        <f t="shared" ca="1" si="3"/>
        <v>23.72215132467905</v>
      </c>
      <c r="AB23" s="15" cm="1">
        <f t="array" ref="AB23">_xll.BDP(J23&amp;" Govt","YLD_YTM_MID")</f>
        <v>3.9690861000000002</v>
      </c>
      <c r="AC23" s="19">
        <v>0.875</v>
      </c>
      <c r="AD23" s="14">
        <f t="shared" ca="1" si="4"/>
        <v>0.29463875000000361</v>
      </c>
      <c r="AE23" s="22">
        <f t="shared" ca="1" si="5"/>
        <v>253.38615403353833</v>
      </c>
      <c r="AF23" s="22" cm="1">
        <f t="array" ref="AF23">(AB23-_xll.BDP(A23&amp;" Govt","YLD_YTM_MID"))*100</f>
        <v>256.34527095817577</v>
      </c>
      <c r="AG23" s="22">
        <f t="shared" ca="1" si="6"/>
        <v>2.959116924637442</v>
      </c>
      <c r="AI23" s="12">
        <v>2</v>
      </c>
      <c r="AJ23" s="12">
        <v>2</v>
      </c>
      <c r="AL23" s="13">
        <v>0</v>
      </c>
      <c r="AM23" s="13">
        <v>0</v>
      </c>
      <c r="AO23" s="14">
        <f t="shared" ca="1" si="19"/>
        <v>2.1019856165148187</v>
      </c>
      <c r="AP23" s="14">
        <f t="shared" ca="1" si="19"/>
        <v>2.1019856165148187</v>
      </c>
      <c r="AR23" s="5">
        <f t="shared" ca="1" si="7"/>
        <v>1.4562444158297649</v>
      </c>
      <c r="AS23" s="5">
        <f t="shared" ca="1" si="8"/>
        <v>1.4142047034994685</v>
      </c>
      <c r="AT23" cm="1">
        <f t="array" aca="1" ref="AT23" ca="1">_xll.BDP($A23&amp;" Govt","YAS_BOND_PX","YAS_BOND_YLD",AR23,"SETTLE_DT",$A$4)</f>
        <v>99.385156016669981</v>
      </c>
      <c r="AU23" cm="1">
        <f t="array" aca="1" ref="AU23" ca="1">_xll.BDP($A23&amp;" Govt","YAS_BOND_PX","YAS_BOND_YLD",AS23,"SETTLE_DT",$A$4)</f>
        <v>99.51008059873206</v>
      </c>
      <c r="AV23" s="15" t="str">
        <f t="shared" ca="1" si="9"/>
        <v>99-123</v>
      </c>
      <c r="AW23" s="15" t="str">
        <f t="shared" ca="1" si="10"/>
        <v>99-163</v>
      </c>
      <c r="AY23" cm="1">
        <f t="array" ref="AY23">_xll.BDP($A23&amp;" Govt","CBBT_PX_BID")</f>
        <v>99.4921875</v>
      </c>
      <c r="AZ23" cm="1">
        <f t="array" ref="AZ23">_xll.BDP($A23&amp;" Govt","CBBT_PX_ASK")</f>
        <v>99.578125</v>
      </c>
      <c r="BA23">
        <f t="shared" si="20"/>
        <v>99.53515625</v>
      </c>
      <c r="BB23" cm="1">
        <f t="array" aca="1" ref="BB23" ca="1">_xll.BDP(A23&amp;" Govt","YAS_BOND_YLD","YAS_BOND_PX",BA23,"SETTLE_DT",$A$4)</f>
        <v>1.4057740000000001</v>
      </c>
      <c r="BC23" s="15" t="str">
        <f t="shared" si="21"/>
        <v>99-156</v>
      </c>
      <c r="BD23" s="15" t="str">
        <f t="shared" si="22"/>
        <v>99-184</v>
      </c>
      <c r="BF23" s="4">
        <f t="shared" ca="1" si="23"/>
        <v>99.385156016669981</v>
      </c>
      <c r="BG23" s="4">
        <f t="shared" ca="1" si="24"/>
        <v>99.578125</v>
      </c>
      <c r="BH23" s="26">
        <f t="shared" si="25"/>
        <v>1.25</v>
      </c>
      <c r="BI23" s="17">
        <f t="shared" si="26"/>
        <v>46858</v>
      </c>
      <c r="BJ23" s="34" t="str">
        <f t="shared" ca="1" si="27"/>
        <v>99-123</v>
      </c>
      <c r="BK23" s="35" t="str">
        <f t="shared" ca="1" si="28"/>
        <v>99-184</v>
      </c>
      <c r="BL23" s="18">
        <v>100</v>
      </c>
      <c r="BM23" s="19" t="s">
        <v>153</v>
      </c>
      <c r="BN23" s="11"/>
      <c r="BO23" s="14"/>
      <c r="BP23" s="14"/>
      <c r="BQ23" s="11"/>
      <c r="BR23" s="14"/>
      <c r="BS23" s="14"/>
      <c r="BT23" s="14"/>
      <c r="BU23" s="11"/>
      <c r="BV23" s="14"/>
      <c r="BW23" s="20">
        <v>1</v>
      </c>
      <c r="BX23" s="16"/>
      <c r="BY23" s="11"/>
      <c r="BZ23" s="11" t="str">
        <f t="shared" si="31"/>
        <v>CT3</v>
      </c>
      <c r="CA23" s="11" t="str">
        <f t="shared" si="32"/>
        <v/>
      </c>
      <c r="CB23" s="21">
        <f t="shared" si="29"/>
        <v>99.039166006369513</v>
      </c>
      <c r="CC23" s="21" t="str">
        <f t="shared" si="30"/>
        <v>--</v>
      </c>
    </row>
    <row r="24" spans="1:81" x14ac:dyDescent="0.25">
      <c r="A24" s="19" t="s">
        <v>101</v>
      </c>
      <c r="B24" s="11" cm="1">
        <f t="array" ref="B24">_xll.BDP(A24&amp;" Govt","COUPON")</f>
        <v>3.625</v>
      </c>
      <c r="C24" s="17" cm="1">
        <f t="array" ref="C24">DATEVALUE(_xll.BDP(A24&amp;" Govt","MATURITY"))</f>
        <v>46858</v>
      </c>
      <c r="D24" s="15" cm="1">
        <f t="array" aca="1" ref="D24" ca="1">_xll.BDH(A24&amp;"@BVN4 CUSIP","PX_MID",$A$1,$A$1)</f>
        <v>106.673828125</v>
      </c>
      <c r="E24" s="15" t="str">
        <f t="shared" ca="1" si="13"/>
        <v>106-215</v>
      </c>
      <c r="F24" s="15" cm="1">
        <f t="array" aca="1" ref="F24" ca="1">_xll.BDP(A24&amp;" Govt","YAS_BOND_YLD","YAS_BOND_PX",D24,"SETTLE_DT",$A$2)</f>
        <v>1.3898269999999999</v>
      </c>
      <c r="G24" s="15" cm="1">
        <f t="array" aca="1" ref="G24" ca="1">_xll.BDP(A24&amp;" Govt","REPO_FORWARD_PRICE","REPO_TERM_DATE",$A$4,"PX_ASK="&amp;D24,"SETTLE_DT",$A$2,"REPO_REPORATE="&amp;$A$5)</f>
        <v>106.6542699074118</v>
      </c>
      <c r="H24" s="15" cm="1">
        <f t="array" aca="1" ref="H24" ca="1">_xll.BDP(A24&amp;" Govt","YAS_BOND_YLD","YAS_BOND_PX",G24,"SETTLE_DT",$A$4)</f>
        <v>1.3942510000000001</v>
      </c>
      <c r="I24" s="11"/>
      <c r="J24" s="11" t="str">
        <f>+VLOOKUP(A24,mapping!$A:$B,2,FALSE)</f>
        <v>912810FE3</v>
      </c>
      <c r="K24" s="11" cm="1">
        <f t="array" ref="K24">_xll.BDP(J24&amp;" Govt","COUPON")</f>
        <v>5.5</v>
      </c>
      <c r="L24" s="17" cm="1">
        <f t="array" ref="L24">DATEVALUE(_xll.BDP(J24&amp;" Govt","MATURITY"))</f>
        <v>46980</v>
      </c>
      <c r="M24" s="15" cm="1">
        <f t="array" aca="1" ref="M24" ca="1">_xll.BDH(J24&amp;"@BVN4 CUSIP","PX_MID",$A$1,$A$1)</f>
        <v>105.16796875</v>
      </c>
      <c r="N24" s="15" t="str">
        <f t="shared" ca="1" si="14"/>
        <v>105-053</v>
      </c>
      <c r="O24" s="15" cm="1">
        <f t="array" aca="1" ref="O24" ca="1">_xll.BDP(J24&amp;" Govt","YAS_BOND_YLD","YAS_BOND_PX",M24,"SETTLE_DT",$A$2)</f>
        <v>3.861103</v>
      </c>
      <c r="P24" s="15" cm="1">
        <f t="array" aca="1" ref="P24" ca="1">_xll.BDP(J24&amp;" Govt","REPO_FORWARD_PRICE","REPO_TERM_DATE",$A$4,"PX_ASK="&amp;M24,"SETTLE_DT",$A$2,"REPO_REPORATE="&amp;$A$5)</f>
        <v>105.16550704886589</v>
      </c>
      <c r="Q24" s="15" cm="1">
        <f t="array" aca="1" ref="Q24" ca="1">_xll.BDP(J24&amp;" Govt","YAS_BOND_YLD","YAS_BOND_PX",P24,"SETTLE_DT",$A$4)</f>
        <v>3.8606229999999999</v>
      </c>
      <c r="R24" s="11"/>
      <c r="S24" s="22">
        <f t="shared" ca="1" si="15"/>
        <v>247.1276</v>
      </c>
      <c r="T24" s="22">
        <f t="shared" ca="1" si="16"/>
        <v>246.63719999999998</v>
      </c>
      <c r="U24" s="15" cm="1">
        <f t="array" ref="U24">_xll.BDP($A24&amp;" Govt","BASE_CPI")</f>
        <v>161.74</v>
      </c>
      <c r="V24" s="15">
        <f t="shared" ca="1" si="17"/>
        <v>1.9612000000000001</v>
      </c>
      <c r="W24" s="14" cm="1">
        <f t="array" ref="W24">_xll.BDP($A24&amp;" Govt","YAS_RISK","YIELD_BETA_ASSUMPTION=1",)</f>
        <v>6.0787970362375914</v>
      </c>
      <c r="X24" s="15">
        <f t="shared" ca="1" si="18"/>
        <v>1.0849826633116582</v>
      </c>
      <c r="Y24" s="15">
        <f t="shared" ca="1" si="1"/>
        <v>0.37233350056866171</v>
      </c>
      <c r="Z24" s="15">
        <f t="shared" ca="1" si="2"/>
        <v>-0.11524608350934365</v>
      </c>
      <c r="AA24" s="14">
        <f t="shared" ca="1" si="3"/>
        <v>47.152912078098922</v>
      </c>
      <c r="AB24" s="15" cm="1">
        <f t="array" ref="AB24">_xll.BDP(J24&amp;" Govt","YLD_YTM_MID")</f>
        <v>3.8911300999999998</v>
      </c>
      <c r="AC24" s="19">
        <v>0.875</v>
      </c>
      <c r="AD24" s="14">
        <f t="shared" ca="1" si="4"/>
        <v>0.38133874999999873</v>
      </c>
      <c r="AE24" s="22">
        <f t="shared" ca="1" si="5"/>
        <v>246.90329266649064</v>
      </c>
      <c r="AF24" s="22" cm="1">
        <f t="array" ref="AF24">(AB24-_xll.BDP(A24&amp;" Govt","YLD_YTM_MID"))*100</f>
        <v>250.31907765224562</v>
      </c>
      <c r="AG24" s="22">
        <f t="shared" ca="1" si="6"/>
        <v>3.415784985754982</v>
      </c>
      <c r="AI24" s="12">
        <v>3.5</v>
      </c>
      <c r="AJ24" s="12">
        <v>3.5</v>
      </c>
      <c r="AL24" s="13">
        <v>0</v>
      </c>
      <c r="AM24" s="13">
        <v>0</v>
      </c>
      <c r="AO24" s="14">
        <f t="shared" ca="1" si="19"/>
        <v>3.5287615085889832</v>
      </c>
      <c r="AP24" s="14">
        <f t="shared" ca="1" si="19"/>
        <v>3.5287615085889832</v>
      </c>
      <c r="AR24" s="5">
        <f t="shared" ca="1" si="7"/>
        <v>1.4573847884209832</v>
      </c>
      <c r="AS24" s="5">
        <f t="shared" ca="1" si="8"/>
        <v>1.3868095582492035</v>
      </c>
      <c r="AT24" cm="1">
        <f t="array" aca="1" ref="AT24" ca="1">_xll.BDP($A24&amp;" Govt","YAS_BOND_PX","YAS_BOND_YLD",AR24,"SETTLE_DT",$A$4)</f>
        <v>106.45873385405832</v>
      </c>
      <c r="AU24" cm="1">
        <f t="array" aca="1" ref="AU24" ca="1">_xll.BDP($A24&amp;" Govt","YAS_BOND_PX","YAS_BOND_YLD",AS24,"SETTLE_DT",$A$4)</f>
        <v>106.67734677992715</v>
      </c>
      <c r="AV24" s="15" t="str">
        <f t="shared" ca="1" si="9"/>
        <v>106-145</v>
      </c>
      <c r="AW24" s="15" t="str">
        <f t="shared" ca="1" si="10"/>
        <v>106-215</v>
      </c>
      <c r="AY24" cm="1">
        <f t="array" ref="AY24">_xll.BDP($A24&amp;" Govt","CBBT_PX_BID")</f>
        <v>106.609375</v>
      </c>
      <c r="AZ24" cm="1">
        <f t="array" ref="AZ24">_xll.BDP($A24&amp;" Govt","CBBT_PX_ASK")</f>
        <v>106.75</v>
      </c>
      <c r="BA24">
        <f t="shared" si="20"/>
        <v>106.6796875</v>
      </c>
      <c r="BB24" cm="1">
        <f t="array" aca="1" ref="BB24" ca="1">_xll.BDP(A24&amp;" Govt","YAS_BOND_YLD","YAS_BOND_PX",BA24,"SETTLE_DT",$A$4)</f>
        <v>1.386055</v>
      </c>
      <c r="BC24" s="15" t="str">
        <f t="shared" si="21"/>
        <v>106-194</v>
      </c>
      <c r="BD24" s="15" t="str">
        <f t="shared" si="22"/>
        <v>106-240</v>
      </c>
      <c r="BF24" s="4">
        <f t="shared" ca="1" si="23"/>
        <v>106.45873385405832</v>
      </c>
      <c r="BG24" s="4">
        <f t="shared" ca="1" si="24"/>
        <v>106.75</v>
      </c>
      <c r="BH24" s="26">
        <f t="shared" si="25"/>
        <v>3.625</v>
      </c>
      <c r="BI24" s="17">
        <f t="shared" si="26"/>
        <v>46858</v>
      </c>
      <c r="BJ24" s="34" t="str">
        <f t="shared" ca="1" si="27"/>
        <v>106-145</v>
      </c>
      <c r="BK24" s="35" t="str">
        <f t="shared" ca="1" si="28"/>
        <v>106-240</v>
      </c>
      <c r="BL24" s="18">
        <v>100</v>
      </c>
      <c r="BM24" s="19"/>
      <c r="BN24" s="11" t="s">
        <v>153</v>
      </c>
      <c r="BO24" s="14">
        <f t="shared" ref="BO24:BO31" ca="1" si="33">IF(ISBLANK(BN24),"",OFFSET($W$1,MATCH(BN24,$BM:$BM,0)-1,))</f>
        <v>3.1444375489871028</v>
      </c>
      <c r="BP24" s="14">
        <f t="shared" ref="BP24:BP31" ca="1" si="34">IF(ISBLANK(BN24),"",OFFSET($AA$1,MATCH(BN24,$BM:$BM,0)-1,))</f>
        <v>23.72215132467905</v>
      </c>
      <c r="BQ24" s="11" t="s">
        <v>154</v>
      </c>
      <c r="BR24" s="14">
        <f t="shared" ref="BR24:BR31" ca="1" si="35">IF(ISBLANK(BQ24),"",OFFSET($W$1,MATCH(BQ24,$BM:$BM,0)-1,))</f>
        <v>4.450525964358035</v>
      </c>
      <c r="BS24" s="14">
        <f t="shared" ref="BS24:BS31" ca="1" si="36">IF(ISBLANK(BQ24),"",OFFSET($AA$1,MATCH(BQ24,$BM:$BM,0)-1,))</f>
        <v>22.902329890229034</v>
      </c>
      <c r="BT24" s="14">
        <f t="shared" ref="BT24:BT31" ca="1" si="37">IF(ISBLANK(BN24),"",50-((BU24*AA24-50*BP24-(BU24*W24-50*BO24)/BR24*BS24)/100/((BU24*AA24-(50+1)*BP24-(BU24*W24-(50+1)*BO24)/BR24*BS24)/100-(BU24*AA24-50*BP24-(BU24*W24-50*BO24)/BR24*BS24)/100)))</f>
        <v>210.47175246194746</v>
      </c>
      <c r="BU24" s="21">
        <f t="shared" ref="BU24:BU31" si="38">+BL24</f>
        <v>100</v>
      </c>
      <c r="BV24" s="14">
        <f t="shared" ref="BV24:BV31" ca="1" si="39">IF(ISBLANK(BN24),"",(BU24*W24-BT24*BO24)/BR24)</f>
        <v>-12.118922179232138</v>
      </c>
      <c r="BW24" s="16">
        <f t="shared" ref="BW24:BW31" ca="1" si="40">MIN(MAX(IF(ISBLANK(BN24),"",(BT24*BO24)/(BU24*W24)),0),1)</f>
        <v>1</v>
      </c>
      <c r="BX24" s="16">
        <f t="shared" ref="BX24:BX31" ca="1" si="41">IF(ISBLANK(BN24),"",1-BW24)</f>
        <v>0</v>
      </c>
      <c r="BY24" s="11"/>
      <c r="BZ24" s="11" t="str">
        <f t="shared" si="31"/>
        <v>CT3</v>
      </c>
      <c r="CA24" s="11" t="str">
        <f t="shared" si="32"/>
        <v>CT5</v>
      </c>
      <c r="CB24" s="21">
        <f t="shared" ca="1" si="29"/>
        <v>191.46158236944243</v>
      </c>
      <c r="CC24" s="21" t="str">
        <f t="shared" ca="1" si="30"/>
        <v>--</v>
      </c>
    </row>
    <row r="25" spans="1:81" x14ac:dyDescent="0.25">
      <c r="A25" s="19" t="s">
        <v>61</v>
      </c>
      <c r="B25" s="11" cm="1">
        <f t="array" ref="B25">_xll.BDP(A25&amp;" Govt","COUPON")</f>
        <v>0.75</v>
      </c>
      <c r="C25" s="17" cm="1">
        <f t="array" ref="C25">DATEVALUE(_xll.BDP(A25&amp;" Govt","MATURITY"))</f>
        <v>46949</v>
      </c>
      <c r="D25" s="15" cm="1">
        <f t="array" aca="1" ref="D25" ca="1">_xll.BDH(A25&amp;"@BVN4 CUSIP","PX_MID",$A$1,$A$1)</f>
        <v>98.28515625</v>
      </c>
      <c r="E25" s="15" t="str">
        <f t="shared" ca="1" si="13"/>
        <v>98-091</v>
      </c>
      <c r="F25" s="15" cm="1">
        <f t="array" aca="1" ref="F25" ca="1">_xll.BDP(A25&amp;" Govt","YAS_BOND_YLD","YAS_BOND_PX",D25,"SETTLE_DT",$A$2)</f>
        <v>1.280367</v>
      </c>
      <c r="G25" s="15" cm="1">
        <f t="array" aca="1" ref="G25" ca="1">_xll.BDP(A25&amp;" Govt","REPO_FORWARD_PRICE","REPO_TERM_DATE",$A$4,"PX_ASK="&amp;D25,"SETTLE_DT",$A$2,"REPO_REPORATE="&amp;$A$5)</f>
        <v>98.273904156374826</v>
      </c>
      <c r="H25" s="15" cm="1">
        <f t="array" aca="1" ref="H25" ca="1">_xll.BDP(A25&amp;" Govt","YAS_BOND_YLD","YAS_BOND_PX",G25,"SETTLE_DT",$A$4)</f>
        <v>1.2843230000000001</v>
      </c>
      <c r="I25" s="11"/>
      <c r="J25" s="11" t="str">
        <f>+VLOOKUP(A25,mapping!$A:$B,2,FALSE)</f>
        <v>9128284V9</v>
      </c>
      <c r="K25" s="11" cm="1">
        <f t="array" ref="K25">_xll.BDP(J25&amp;" Govt","COUPON")</f>
        <v>2.875</v>
      </c>
      <c r="L25" s="17" cm="1">
        <f t="array" ref="L25">DATEVALUE(_xll.BDP(J25&amp;" Govt","MATURITY"))</f>
        <v>46980</v>
      </c>
      <c r="M25" s="15" cm="1">
        <f t="array" aca="1" ref="M25" ca="1">_xll.BDH(J25&amp;"@BVN4 CUSIP","PX_MID",$A$1,$A$1)</f>
        <v>96.59375</v>
      </c>
      <c r="N25" s="15" t="str">
        <f t="shared" ca="1" si="14"/>
        <v>96-190</v>
      </c>
      <c r="O25" s="15" cm="1">
        <f t="array" aca="1" ref="O25" ca="1">_xll.BDP(J25&amp;" Govt","YAS_BOND_YLD","YAS_BOND_PX",M25,"SETTLE_DT",$A$2)</f>
        <v>3.9555069999999999</v>
      </c>
      <c r="P25" s="15" cm="1">
        <f t="array" aca="1" ref="P25" ca="1">_xll.BDP(J25&amp;" Govt","REPO_FORWARD_PRICE","REPO_TERM_DATE",$A$4,"PX_ASK="&amp;M25,"SETTLE_DT",$A$2,"REPO_REPORATE="&amp;$A$5)</f>
        <v>96.597474893315493</v>
      </c>
      <c r="Q25" s="15" cm="1">
        <f t="array" aca="1" ref="Q25" ca="1">_xll.BDP(J25&amp;" Govt","YAS_BOND_YLD","YAS_BOND_PX",P25,"SETTLE_DT",$A$4)</f>
        <v>3.9551229999999999</v>
      </c>
      <c r="R25" s="11"/>
      <c r="S25" s="22">
        <f t="shared" ca="1" si="15"/>
        <v>267.51400000000001</v>
      </c>
      <c r="T25" s="22">
        <f t="shared" ca="1" si="16"/>
        <v>267.08</v>
      </c>
      <c r="U25" s="15" cm="1">
        <f t="array" ref="U25">_xll.BDP($A25&amp;" Govt","BASE_CPI")</f>
        <v>251.01658</v>
      </c>
      <c r="V25" s="15">
        <f t="shared" ca="1" si="17"/>
        <v>1.2636799999999999</v>
      </c>
      <c r="W25" s="14" cm="1">
        <f t="array" ref="W25">_xll.BDP($A25&amp;" Govt","YAS_RISK","YIELD_BETA_ASSUMPTION=1",)</f>
        <v>4.0406038257599715</v>
      </c>
      <c r="X25" s="15">
        <f t="shared" ca="1" si="18"/>
        <v>0.96903453180699217</v>
      </c>
      <c r="Y25" s="15">
        <f t="shared" ca="1" si="1"/>
        <v>0.33254358028020548</v>
      </c>
      <c r="Z25" s="15">
        <f t="shared" ca="1" si="2"/>
        <v>-0.10293015580101239</v>
      </c>
      <c r="AA25" s="14">
        <f t="shared" ca="1" si="3"/>
        <v>27.993267973169093</v>
      </c>
      <c r="AB25" s="15" cm="1">
        <f t="array" ref="AB25">_xll.BDP(J25&amp;" Govt","YLD_YTM_MID")</f>
        <v>3.9808257568384207</v>
      </c>
      <c r="AC25" s="19">
        <v>0.875</v>
      </c>
      <c r="AD25" s="14">
        <f t="shared" ca="1" si="4"/>
        <v>0.32128446048025894</v>
      </c>
      <c r="AE25" s="22">
        <f t="shared" ca="1" si="5"/>
        <v>267.29835430467926</v>
      </c>
      <c r="AF25" s="22" cm="1">
        <f t="array" ref="AF25">(AB25-_xll.BDP(A25&amp;" Govt","YLD_YTM_MID"))*100</f>
        <v>270.53401740447794</v>
      </c>
      <c r="AG25" s="22">
        <f t="shared" ca="1" si="6"/>
        <v>3.2356630997986713</v>
      </c>
      <c r="AI25" s="12">
        <v>2</v>
      </c>
      <c r="AJ25" s="12">
        <v>2</v>
      </c>
      <c r="AL25" s="13">
        <v>0</v>
      </c>
      <c r="AM25" s="13">
        <v>0</v>
      </c>
      <c r="AO25" s="14">
        <f t="shared" ca="1" si="19"/>
        <v>1.9546583482518272</v>
      </c>
      <c r="AP25" s="14">
        <f t="shared" ca="1" si="19"/>
        <v>1.9546583482518272</v>
      </c>
      <c r="AR25" s="5">
        <f t="shared" ca="1" si="7"/>
        <v>1.3273887972741463</v>
      </c>
      <c r="AS25" s="5">
        <f t="shared" ca="1" si="8"/>
        <v>1.2882956303091095</v>
      </c>
      <c r="AT25" cm="1">
        <f t="array" aca="1" ref="AT25" ca="1">_xll.BDP($A25&amp;" Govt","YAS_BOND_PX","YAS_BOND_YLD",AR25,"SETTLE_DT",$A$4)</f>
        <v>98.136305198829817</v>
      </c>
      <c r="AU25" cm="1">
        <f t="array" aca="1" ref="AU25" ca="1">_xll.BDP($A25&amp;" Govt","YAS_BOND_PX","YAS_BOND_YLD",AS25,"SETTLE_DT",$A$4)</f>
        <v>98.261201073094298</v>
      </c>
      <c r="AV25" s="15" t="str">
        <f t="shared" ca="1" si="9"/>
        <v>98-043</v>
      </c>
      <c r="AW25" s="15" t="str">
        <f t="shared" ca="1" si="10"/>
        <v>98-083</v>
      </c>
      <c r="AY25" cm="1">
        <f t="array" ref="AY25">_xll.BDP($A25&amp;" Govt","CBBT_PX_BID")</f>
        <v>98.25</v>
      </c>
      <c r="AZ25" cm="1">
        <f t="array" ref="AZ25">_xll.BDP($A25&amp;" Govt","CBBT_PX_ASK")</f>
        <v>98.3515625</v>
      </c>
      <c r="BA25">
        <f t="shared" si="20"/>
        <v>98.30078125</v>
      </c>
      <c r="BB25" cm="1">
        <f t="array" aca="1" ref="BB25" ca="1">_xll.BDP(A25&amp;" Govt","YAS_BOND_YLD","YAS_BOND_PX",BA25,"SETTLE_DT",$A$4)</f>
        <v>1.275919</v>
      </c>
      <c r="BC25" s="15" t="str">
        <f t="shared" si="21"/>
        <v>98-080</v>
      </c>
      <c r="BD25" s="15" t="str">
        <f t="shared" si="22"/>
        <v>98-112</v>
      </c>
      <c r="BF25" s="4">
        <f t="shared" ca="1" si="23"/>
        <v>98.136305198829817</v>
      </c>
      <c r="BG25" s="4">
        <f t="shared" ca="1" si="24"/>
        <v>98.3515625</v>
      </c>
      <c r="BH25" s="26">
        <f t="shared" si="25"/>
        <v>0.75</v>
      </c>
      <c r="BI25" s="17">
        <f t="shared" si="26"/>
        <v>46949</v>
      </c>
      <c r="BJ25" s="34" t="str">
        <f t="shared" ca="1" si="27"/>
        <v>98-043</v>
      </c>
      <c r="BK25" s="35" t="str">
        <f t="shared" ca="1" si="28"/>
        <v>98-112</v>
      </c>
      <c r="BL25" s="18">
        <v>100</v>
      </c>
      <c r="BM25" s="19"/>
      <c r="BN25" s="11" t="s">
        <v>153</v>
      </c>
      <c r="BO25" s="14">
        <f t="shared" ca="1" si="33"/>
        <v>3.1444375489871028</v>
      </c>
      <c r="BP25" s="14">
        <f t="shared" ca="1" si="34"/>
        <v>23.72215132467905</v>
      </c>
      <c r="BQ25" s="11" t="s">
        <v>154</v>
      </c>
      <c r="BR25" s="14">
        <f t="shared" ca="1" si="35"/>
        <v>4.450525964358035</v>
      </c>
      <c r="BS25" s="14">
        <f t="shared" ca="1" si="36"/>
        <v>22.902329890229034</v>
      </c>
      <c r="BT25" s="14">
        <f t="shared" ca="1" si="37"/>
        <v>95.484117116274433</v>
      </c>
      <c r="BU25" s="21">
        <f t="shared" si="38"/>
        <v>100</v>
      </c>
      <c r="BV25" s="14">
        <f t="shared" ca="1" si="39"/>
        <v>23.326802318448372</v>
      </c>
      <c r="BW25" s="16">
        <f t="shared" ca="1" si="40"/>
        <v>0.74306676957081907</v>
      </c>
      <c r="BX25" s="16">
        <f t="shared" ca="1" si="41"/>
        <v>0.25693323042918093</v>
      </c>
      <c r="BY25" s="11"/>
      <c r="BZ25" s="11" t="str">
        <f t="shared" si="31"/>
        <v>CT3</v>
      </c>
      <c r="CA25" s="11" t="str">
        <f t="shared" si="32"/>
        <v>CT5</v>
      </c>
      <c r="CB25" s="21">
        <f t="shared" ca="1" si="29"/>
        <v>94.566673260503336</v>
      </c>
      <c r="CC25" s="21">
        <f t="shared" ca="1" si="30"/>
        <v>20.498832032372757</v>
      </c>
    </row>
    <row r="26" spans="1:81" x14ac:dyDescent="0.25">
      <c r="A26" s="19" t="s">
        <v>15</v>
      </c>
      <c r="B26" s="11" cm="1">
        <f t="array" ref="B26">_xll.BDP(A26&amp;" Govt","COUPON")</f>
        <v>2.375</v>
      </c>
      <c r="C26" s="17" cm="1">
        <f t="array" ref="C26">DATEVALUE(_xll.BDP(A26&amp;" Govt","MATURITY"))</f>
        <v>47041</v>
      </c>
      <c r="D26" s="15" cm="1">
        <f t="array" aca="1" ref="D26" ca="1">_xll.BDH(A26&amp;"@BVN4 CUSIP","PX_MID",$A$1,$A$1)</f>
        <v>103.6328125</v>
      </c>
      <c r="E26" s="15" t="str">
        <f t="shared" ca="1" si="13"/>
        <v>103-202</v>
      </c>
      <c r="F26" s="15" cm="1">
        <f t="array" aca="1" ref="F26" ca="1">_xll.BDP(A26&amp;" Govt","YAS_BOND_YLD","YAS_BOND_PX",D26,"SETTLE_DT",$A$2)</f>
        <v>1.326881</v>
      </c>
      <c r="G26" s="15" cm="1">
        <f t="array" aca="1" ref="G26" ca="1">_xll.BDP(A26&amp;" Govt","REPO_FORWARD_PRICE","REPO_TERM_DATE",$A$4,"PX_ASK="&amp;D26,"SETTLE_DT",$A$2,"REPO_REPORATE="&amp;$A$5)</f>
        <v>103.61665311081471</v>
      </c>
      <c r="H26" s="15" cm="1">
        <f t="array" aca="1" ref="H26" ca="1">_xll.BDP(A26&amp;" Govt","YAS_BOND_YLD","YAS_BOND_PX",G26,"SETTLE_DT",$A$4)</f>
        <v>1.330681</v>
      </c>
      <c r="I26" s="11"/>
      <c r="J26" s="11" t="str">
        <f>+VLOOKUP(A26,mapping!$A:$B,2,FALSE)</f>
        <v>91282CJF9</v>
      </c>
      <c r="K26" s="11" cm="1">
        <f t="array" ref="K26">_xll.BDP(J26&amp;" Govt","COUPON")</f>
        <v>4.875</v>
      </c>
      <c r="L26" s="17" cm="1">
        <f t="array" ref="L26">DATEVALUE(_xll.BDP(J26&amp;" Govt","MATURITY"))</f>
        <v>47057</v>
      </c>
      <c r="M26" s="15" cm="1">
        <f t="array" aca="1" ref="M26" ca="1">_xll.BDH(J26&amp;"@BVN4 CUSIP","PX_MID",$A$1,$A$1)</f>
        <v>103.0234375</v>
      </c>
      <c r="N26" s="15" t="str">
        <f t="shared" ca="1" si="14"/>
        <v>103-006</v>
      </c>
      <c r="O26" s="15" cm="1">
        <f t="array" aca="1" ref="O26" ca="1">_xll.BDP(J26&amp;" Govt","YAS_BOND_YLD","YAS_BOND_PX",M26,"SETTLE_DT",$A$2)</f>
        <v>3.9648569999999999</v>
      </c>
      <c r="P26" s="15" cm="1">
        <f t="array" aca="1" ref="P26" ca="1">_xll.BDP(J26&amp;" Govt","REPO_FORWARD_PRICE","REPO_TERM_DATE",$A$4,"PX_ASK="&amp;M26,"SETTLE_DT",$A$2,"REPO_REPORATE="&amp;$A$5)</f>
        <v>103.02260990329692</v>
      </c>
      <c r="Q26" s="15" cm="1">
        <f t="array" aca="1" ref="Q26" ca="1">_xll.BDP(J26&amp;" Govt","YAS_BOND_YLD","YAS_BOND_PX",P26,"SETTLE_DT",$A$4)</f>
        <v>3.9644870000000001</v>
      </c>
      <c r="R26" s="11"/>
      <c r="S26" s="22">
        <f t="shared" ca="1" si="15"/>
        <v>263.79759999999999</v>
      </c>
      <c r="T26" s="22">
        <f t="shared" ca="1" si="16"/>
        <v>263.38059999999996</v>
      </c>
      <c r="U26" s="15" cm="1">
        <f t="array" ref="U26">_xll.BDP($A26&amp;" Govt","BASE_CPI")</f>
        <v>306.29390000000001</v>
      </c>
      <c r="V26" s="15">
        <f t="shared" ca="1" si="17"/>
        <v>1.03562</v>
      </c>
      <c r="W26" s="14" cm="1">
        <f t="array" ref="W26">_xll.BDP($A26&amp;" Govt","YAS_RISK","YIELD_BETA_ASSUMPTION=1",)</f>
        <v>3.6614176923596902</v>
      </c>
      <c r="X26" s="15">
        <f t="shared" ca="1" si="18"/>
        <v>0.92408019227395066</v>
      </c>
      <c r="Y26" s="15">
        <f t="shared" ca="1" si="1"/>
        <v>0.31711659958265165</v>
      </c>
      <c r="Z26" s="15">
        <f t="shared" ca="1" si="2"/>
        <v>-9.815513796605542E-2</v>
      </c>
      <c r="AA26" s="14">
        <f t="shared" ca="1" si="3"/>
        <v>24.189506838601343</v>
      </c>
      <c r="AB26" s="15" cm="1">
        <f t="array" ref="AB26">_xll.BDP(J26&amp;" Govt","YLD_YTM_MID")</f>
        <v>3.9925529875177119</v>
      </c>
      <c r="AC26" s="19">
        <v>0.875</v>
      </c>
      <c r="AD26" s="14">
        <f t="shared" ca="1" si="4"/>
        <v>0.3508248439713979</v>
      </c>
      <c r="AE26" s="22">
        <f t="shared" ca="1" si="5"/>
        <v>263.63326970600531</v>
      </c>
      <c r="AF26" s="22" cm="1">
        <f t="array" ref="AF26">(AB26-_xll.BDP(A26&amp;" Govt","YLD_YTM_MID"))*100</f>
        <v>266.89826112050974</v>
      </c>
      <c r="AG26" s="22">
        <f t="shared" ca="1" si="6"/>
        <v>3.2649914145044363</v>
      </c>
      <c r="AI26" s="12">
        <v>2</v>
      </c>
      <c r="AJ26" s="12">
        <v>2</v>
      </c>
      <c r="AL26" s="13">
        <v>0</v>
      </c>
      <c r="AM26" s="13">
        <v>0</v>
      </c>
      <c r="AO26" s="14">
        <f t="shared" ca="1" si="19"/>
        <v>1.7677920258883544</v>
      </c>
      <c r="AP26" s="14">
        <f t="shared" ca="1" si="19"/>
        <v>1.7677920258883544</v>
      </c>
      <c r="AR26" s="5">
        <f t="shared" ca="1" si="7"/>
        <v>1.3738982107165423</v>
      </c>
      <c r="AS26" s="5">
        <f t="shared" ca="1" si="8"/>
        <v>1.3385423701987753</v>
      </c>
      <c r="AT26" cm="1">
        <f t="array" aca="1" ref="AT26" ca="1">_xll.BDP($A26&amp;" Govt","YAS_BOND_PX","YAS_BOND_YLD",AR26,"SETTLE_DT",$A$4)</f>
        <v>103.46395622356337</v>
      </c>
      <c r="AU26" cm="1">
        <f t="array" aca="1" ref="AU26" ca="1">_xll.BDP($A26&amp;" Govt","YAS_BOND_PX","YAS_BOND_YLD",AS26,"SETTLE_DT",$A$4)</f>
        <v>103.58885662347647</v>
      </c>
      <c r="AV26" s="15" t="str">
        <f t="shared" ca="1" si="9"/>
        <v>103-147</v>
      </c>
      <c r="AW26" s="15" t="str">
        <f t="shared" ca="1" si="10"/>
        <v>103-187</v>
      </c>
      <c r="AY26" cm="1">
        <f t="array" ref="AY26">_xll.BDP($A26&amp;" Govt","CBBT_PX_BID")</f>
        <v>103.609375</v>
      </c>
      <c r="AZ26" cm="1">
        <f t="array" ref="AZ26">_xll.BDP($A26&amp;" Govt","CBBT_PX_ASK")</f>
        <v>103.6796875</v>
      </c>
      <c r="BA26">
        <f t="shared" si="20"/>
        <v>103.64453125</v>
      </c>
      <c r="BB26" cm="1">
        <f t="array" aca="1" ref="BB26" ca="1">_xll.BDP(A26&amp;" Govt","YAS_BOND_YLD","YAS_BOND_PX",BA26,"SETTLE_DT",$A$4)</f>
        <v>1.3227979999999999</v>
      </c>
      <c r="BC26" s="15" t="str">
        <f t="shared" si="21"/>
        <v>103-194</v>
      </c>
      <c r="BD26" s="15" t="str">
        <f t="shared" si="22"/>
        <v>103-216</v>
      </c>
      <c r="BF26" s="4">
        <f t="shared" ca="1" si="23"/>
        <v>103.46395622356337</v>
      </c>
      <c r="BG26" s="4">
        <f t="shared" ca="1" si="24"/>
        <v>103.6796875</v>
      </c>
      <c r="BH26" s="26">
        <f t="shared" si="25"/>
        <v>2.375</v>
      </c>
      <c r="BI26" s="17">
        <f t="shared" si="26"/>
        <v>47041</v>
      </c>
      <c r="BJ26" s="34" t="str">
        <f t="shared" ca="1" si="27"/>
        <v>103-147</v>
      </c>
      <c r="BK26" s="35" t="str">
        <f t="shared" ca="1" si="28"/>
        <v>103-216</v>
      </c>
      <c r="BL26" s="18">
        <v>100</v>
      </c>
      <c r="BM26" s="19"/>
      <c r="BN26" s="11" t="s">
        <v>153</v>
      </c>
      <c r="BO26" s="14">
        <f t="shared" ca="1" si="33"/>
        <v>3.1444375489871028</v>
      </c>
      <c r="BP26" s="14">
        <f t="shared" ca="1" si="34"/>
        <v>23.72215132467905</v>
      </c>
      <c r="BQ26" s="11" t="s">
        <v>154</v>
      </c>
      <c r="BR26" s="14">
        <f t="shared" ca="1" si="35"/>
        <v>4.450525964358035</v>
      </c>
      <c r="BS26" s="14">
        <f t="shared" ca="1" si="36"/>
        <v>22.902329890229034</v>
      </c>
      <c r="BT26" s="14">
        <f t="shared" ca="1" si="37"/>
        <v>70.918501836058766</v>
      </c>
      <c r="BU26" s="21">
        <f t="shared" si="38"/>
        <v>100</v>
      </c>
      <c r="BV26" s="14">
        <f t="shared" ca="1" si="39"/>
        <v>32.163157858444869</v>
      </c>
      <c r="BW26" s="16">
        <f t="shared" ca="1" si="40"/>
        <v>0.60905042480279525</v>
      </c>
      <c r="BX26" s="16">
        <f t="shared" ca="1" si="41"/>
        <v>0.39094957519720475</v>
      </c>
      <c r="BY26" s="11"/>
      <c r="BZ26" s="11" t="str">
        <f t="shared" si="31"/>
        <v>CT3</v>
      </c>
      <c r="CA26" s="11" t="str">
        <f t="shared" si="32"/>
        <v>CT5</v>
      </c>
      <c r="CB26" s="21">
        <f t="shared" ca="1" si="29"/>
        <v>70.237092762644437</v>
      </c>
      <c r="CC26" s="21">
        <f t="shared" ca="1" si="30"/>
        <v>28.263932688687795</v>
      </c>
    </row>
    <row r="27" spans="1:81" x14ac:dyDescent="0.25">
      <c r="A27" s="19" t="s">
        <v>59</v>
      </c>
      <c r="B27" s="11" cm="1">
        <f t="array" ref="B27">_xll.BDP(A27&amp;" Govt","COUPON")</f>
        <v>0.875</v>
      </c>
      <c r="C27" s="17" cm="1">
        <f t="array" ref="C27">DATEVALUE(_xll.BDP(A27&amp;" Govt","MATURITY"))</f>
        <v>47133</v>
      </c>
      <c r="D27" s="15" cm="1">
        <f t="array" aca="1" ref="D27" ca="1">_xll.BDH(A27&amp;"@BVN4 CUSIP","PX_MID",$A$1,$A$1)</f>
        <v>97.84375</v>
      </c>
      <c r="E27" s="15" t="str">
        <f t="shared" ca="1" si="13"/>
        <v>97-270</v>
      </c>
      <c r="F27" s="15" cm="1">
        <f t="array" aca="1" ref="F27" ca="1">_xll.BDP(A27&amp;" Govt","YAS_BOND_YLD","YAS_BOND_PX",D27,"SETTLE_DT",$A$2)</f>
        <v>1.458453</v>
      </c>
      <c r="G27" s="15" cm="1">
        <f t="array" aca="1" ref="G27" ca="1">_xll.BDP(A27&amp;" Govt","REPO_FORWARD_PRICE","REPO_TERM_DATE",$A$4,"PX_ASK="&amp;D27,"SETTLE_DT",$A$2,"REPO_REPORATE="&amp;$A$5)</f>
        <v>97.832847812835482</v>
      </c>
      <c r="H27" s="15" cm="1">
        <f t="array" aca="1" ref="H27" ca="1">_xll.BDP(A27&amp;" Govt","YAS_BOND_YLD","YAS_BOND_PX",G27,"SETTLE_DT",$A$4)</f>
        <v>1.461859</v>
      </c>
      <c r="I27" s="11"/>
      <c r="J27" s="11" t="str">
        <f>+VLOOKUP(A27,mapping!$A:$B,2,FALSE)</f>
        <v>9128286B1</v>
      </c>
      <c r="K27" s="11" cm="1">
        <f t="array" ref="K27">_xll.BDP(J27&amp;" Govt","COUPON")</f>
        <v>2.625</v>
      </c>
      <c r="L27" s="17" cm="1">
        <f t="array" ref="L27">DATEVALUE(_xll.BDP(J27&amp;" Govt","MATURITY"))</f>
        <v>47164</v>
      </c>
      <c r="M27" s="15" cm="1">
        <f t="array" aca="1" ref="M27" ca="1">_xll.BDH(J27&amp;"@BVN4 CUSIP","PX_MID",$A$1,$A$1)</f>
        <v>95.16015625</v>
      </c>
      <c r="N27" s="15" t="str">
        <f t="shared" ca="1" si="14"/>
        <v>95-051</v>
      </c>
      <c r="O27" s="15" cm="1">
        <f t="array" aca="1" ref="O27" ca="1">_xll.BDP(J27&amp;" Govt","YAS_BOND_YLD","YAS_BOND_PX",M27,"SETTLE_DT",$A$2)</f>
        <v>3.9771130000000001</v>
      </c>
      <c r="P27" s="15" cm="1">
        <f t="array" aca="1" ref="P27" ca="1">_xll.BDP(J27&amp;" Govt","REPO_FORWARD_PRICE","REPO_TERM_DATE",$A$4,"PX_ASK="&amp;M27,"SETTLE_DT",$A$2,"REPO_REPORATE="&amp;$A$5)</f>
        <v>95.164396045524356</v>
      </c>
      <c r="Q27" s="15" cm="1">
        <f t="array" aca="1" ref="Q27" ca="1">_xll.BDP(J27&amp;" Govt","YAS_BOND_YLD","YAS_BOND_PX",P27,"SETTLE_DT",$A$4)</f>
        <v>3.9767929999999998</v>
      </c>
      <c r="R27" s="11"/>
      <c r="S27" s="22">
        <f t="shared" ca="1" si="15"/>
        <v>251.86600000000001</v>
      </c>
      <c r="T27" s="22">
        <f t="shared" ca="1" si="16"/>
        <v>251.49339999999998</v>
      </c>
      <c r="U27" s="15" cm="1">
        <f t="array" ref="U27">_xll.BDP($A27&amp;" Govt","BASE_CPI")</f>
        <v>252.50247999999999</v>
      </c>
      <c r="V27" s="15">
        <f t="shared" ca="1" si="17"/>
        <v>1.25624</v>
      </c>
      <c r="W27" s="14" cm="1">
        <f t="array" ref="W27">_xll.BDP($A27&amp;" Govt","YAS_RISK","YIELD_BETA_ASSUMPTION=1",)</f>
        <v>4.5805141224211132</v>
      </c>
      <c r="X27" s="15">
        <f t="shared" ca="1" si="18"/>
        <v>0.84596659619503289</v>
      </c>
      <c r="Y27" s="15">
        <f t="shared" ca="1" si="1"/>
        <v>0.29031035681624945</v>
      </c>
      <c r="Z27" s="15">
        <f t="shared" ca="1" si="2"/>
        <v>-8.9857967585978832E-2</v>
      </c>
      <c r="AA27" s="14">
        <f t="shared" ca="1" si="3"/>
        <v>27.703556026707147</v>
      </c>
      <c r="AB27" s="15" cm="1">
        <f t="array" ref="AB27">_xll.BDP(J27&amp;" Govt","YLD_YTM_MID")</f>
        <v>4.0018453473626989</v>
      </c>
      <c r="AC27" s="19">
        <v>0.875</v>
      </c>
      <c r="AD27" s="14">
        <f t="shared" ca="1" si="4"/>
        <v>0.31315434203373904</v>
      </c>
      <c r="AE27" s="22">
        <f t="shared" ca="1" si="5"/>
        <v>251.71669637444774</v>
      </c>
      <c r="AF27" s="22" cm="1">
        <f t="array" ref="AF27">(AB27-_xll.BDP(A27&amp;" Govt","YLD_YTM_MID"))*100</f>
        <v>254.76732621717542</v>
      </c>
      <c r="AG27" s="22">
        <f t="shared" ca="1" si="6"/>
        <v>3.0506298427276874</v>
      </c>
      <c r="AI27" s="12">
        <v>2</v>
      </c>
      <c r="AJ27" s="12">
        <v>2</v>
      </c>
      <c r="AL27" s="13">
        <v>0</v>
      </c>
      <c r="AM27" s="13">
        <v>0</v>
      </c>
      <c r="AO27" s="14">
        <f t="shared" ca="1" si="19"/>
        <v>1.7141088948002081</v>
      </c>
      <c r="AP27" s="14">
        <f t="shared" ca="1" si="19"/>
        <v>1.7141088948002081</v>
      </c>
      <c r="AR27" s="5">
        <f t="shared" ca="1" si="7"/>
        <v>1.5018194725662235</v>
      </c>
      <c r="AS27" s="5">
        <f t="shared" ca="1" si="8"/>
        <v>1.4675372946702192</v>
      </c>
      <c r="AT27" cm="1">
        <f t="array" aca="1" ref="AT27" ca="1">_xll.BDP($A27&amp;" Govt","YAS_BOND_PX","YAS_BOND_YLD",AR27,"SETTLE_DT",$A$4)</f>
        <v>97.687257361673787</v>
      </c>
      <c r="AU27" cm="1">
        <f t="array" aca="1" ref="AU27" ca="1">_xll.BDP($A27&amp;" Govt","YAS_BOND_PX","YAS_BOND_YLD",AS27,"SETTLE_DT",$A$4)</f>
        <v>97.812143897842361</v>
      </c>
      <c r="AV27" s="15" t="str">
        <f t="shared" ca="1" si="9"/>
        <v>97-218</v>
      </c>
      <c r="AW27" s="15" t="str">
        <f t="shared" ca="1" si="10"/>
        <v>97-258</v>
      </c>
      <c r="AY27" cm="1">
        <f t="array" ref="AY27">_xll.BDP($A27&amp;" Govt","CBBT_PX_BID")</f>
        <v>97.8125</v>
      </c>
      <c r="AZ27" cm="1">
        <f t="array" ref="AZ27">_xll.BDP($A27&amp;" Govt","CBBT_PX_ASK")</f>
        <v>97.90625</v>
      </c>
      <c r="BA27">
        <f t="shared" si="20"/>
        <v>97.859375</v>
      </c>
      <c r="BB27" cm="1">
        <f t="array" aca="1" ref="BB27" ca="1">_xll.BDP(A27&amp;" Govt","YAS_BOND_YLD","YAS_BOND_PX",BA27,"SETTLE_DT",$A$4)</f>
        <v>1.454585</v>
      </c>
      <c r="BC27" s="15" t="str">
        <f t="shared" si="21"/>
        <v>97-260</v>
      </c>
      <c r="BD27" s="15" t="str">
        <f t="shared" si="22"/>
        <v>97-290</v>
      </c>
      <c r="BF27" s="4">
        <f t="shared" ca="1" si="23"/>
        <v>97.687257361673787</v>
      </c>
      <c r="BG27" s="4">
        <f t="shared" ca="1" si="24"/>
        <v>97.90625</v>
      </c>
      <c r="BH27" s="26">
        <f t="shared" si="25"/>
        <v>0.875</v>
      </c>
      <c r="BI27" s="17">
        <f t="shared" si="26"/>
        <v>47133</v>
      </c>
      <c r="BJ27" s="34" t="str">
        <f t="shared" ca="1" si="27"/>
        <v>97-218</v>
      </c>
      <c r="BK27" s="35" t="str">
        <f t="shared" ca="1" si="28"/>
        <v>97-290</v>
      </c>
      <c r="BL27" s="18">
        <v>100</v>
      </c>
      <c r="BM27" s="19"/>
      <c r="BN27" s="11" t="s">
        <v>153</v>
      </c>
      <c r="BO27" s="14">
        <f t="shared" ca="1" si="33"/>
        <v>3.1444375489871028</v>
      </c>
      <c r="BP27" s="14">
        <f t="shared" ca="1" si="34"/>
        <v>23.72215132467905</v>
      </c>
      <c r="BQ27" s="11" t="s">
        <v>154</v>
      </c>
      <c r="BR27" s="14">
        <f t="shared" ca="1" si="35"/>
        <v>4.450525964358035</v>
      </c>
      <c r="BS27" s="14">
        <f t="shared" ca="1" si="36"/>
        <v>22.902329890229034</v>
      </c>
      <c r="BT27" s="14">
        <f t="shared" ca="1" si="37"/>
        <v>54.798405081988975</v>
      </c>
      <c r="BU27" s="21">
        <f t="shared" si="38"/>
        <v>100</v>
      </c>
      <c r="BV27" s="14">
        <f t="shared" ca="1" si="39"/>
        <v>64.2039282471451</v>
      </c>
      <c r="BW27" s="16">
        <f t="shared" ca="1" si="40"/>
        <v>0.37618083463813046</v>
      </c>
      <c r="BX27" s="16">
        <f t="shared" ca="1" si="41"/>
        <v>0.62381916536186954</v>
      </c>
      <c r="BY27" s="11"/>
      <c r="BZ27" s="11" t="str">
        <f t="shared" si="31"/>
        <v>CT3</v>
      </c>
      <c r="CA27" s="11" t="str">
        <f t="shared" si="32"/>
        <v>CT5</v>
      </c>
      <c r="CB27" s="21">
        <f t="shared" ca="1" si="29"/>
        <v>54.271883377993895</v>
      </c>
      <c r="CC27" s="21">
        <f t="shared" ca="1" si="30"/>
        <v>56.420315266095315</v>
      </c>
    </row>
    <row r="28" spans="1:81" x14ac:dyDescent="0.25">
      <c r="A28" s="19" t="s">
        <v>93</v>
      </c>
      <c r="B28" s="11" cm="1">
        <f t="array" ref="B28">_xll.BDP(A28&amp;" Govt","COUPON")</f>
        <v>2.5</v>
      </c>
      <c r="C28" s="17" cm="1">
        <f t="array" ref="C28">DATEVALUE(_xll.BDP(A28&amp;" Govt","MATURITY"))</f>
        <v>47133</v>
      </c>
      <c r="D28" s="15" cm="1">
        <f t="array" aca="1" ref="D28" ca="1">_xll.BDH(A28&amp;"@BVN4 CUSIP","PX_MID",$A$1,$A$1)</f>
        <v>103.875</v>
      </c>
      <c r="E28" s="15" t="str">
        <f t="shared" ca="1" si="13"/>
        <v>103-280</v>
      </c>
      <c r="F28" s="15" cm="1">
        <f t="array" aca="1" ref="F28" ca="1">_xll.BDP(A28&amp;" Govt","YAS_BOND_YLD","YAS_BOND_PX",D28,"SETTLE_DT",$A$2)</f>
        <v>1.4511700000000001</v>
      </c>
      <c r="G28" s="15" cm="1">
        <f t="array" aca="1" ref="G28" ca="1">_xll.BDP(A28&amp;" Govt","REPO_FORWARD_PRICE","REPO_TERM_DATE",$A$4,"PX_ASK="&amp;D28,"SETTLE_DT",$A$2,"REPO_REPORATE="&amp;$A$5)</f>
        <v>103.85876213186479</v>
      </c>
      <c r="H28" s="15" cm="1">
        <f t="array" aca="1" ref="H28" ca="1">_xll.BDP(A28&amp;" Govt","YAS_BOND_YLD","YAS_BOND_PX",G28,"SETTLE_DT",$A$4)</f>
        <v>1.454745</v>
      </c>
      <c r="I28" s="11"/>
      <c r="J28" s="11" t="str">
        <f>+VLOOKUP(A28,mapping!$A:$B,2,FALSE)</f>
        <v>912810FG8</v>
      </c>
      <c r="K28" s="11" cm="1">
        <f t="array" ref="K28">_xll.BDP(J28&amp;" Govt","COUPON")</f>
        <v>5.25</v>
      </c>
      <c r="L28" s="17" cm="1">
        <f t="array" ref="L28">DATEVALUE(_xll.BDP(J28&amp;" Govt","MATURITY"))</f>
        <v>47164</v>
      </c>
      <c r="M28" s="15" cm="1">
        <f t="array" aca="1" ref="M28" ca="1">_xll.BDH(J28&amp;"@BVN4 CUSIP","PX_MID",$A$1,$A$1)</f>
        <v>104.9296875</v>
      </c>
      <c r="N28" s="15" t="str">
        <f t="shared" ca="1" si="14"/>
        <v>104-296</v>
      </c>
      <c r="O28" s="15" cm="1">
        <f t="array" aca="1" ref="O28" ca="1">_xll.BDP(J28&amp;" Govt","YAS_BOND_YLD","YAS_BOND_PX",M28,"SETTLE_DT",$A$2)</f>
        <v>3.8740429999999999</v>
      </c>
      <c r="P28" s="15" cm="1">
        <f t="array" aca="1" ref="P28" ca="1">_xll.BDP(J28&amp;" Govt","REPO_FORWARD_PRICE","REPO_TERM_DATE",$A$4,"PX_ASK="&amp;M28,"SETTLE_DT",$A$2,"REPO_REPORATE="&amp;$A$5)</f>
        <v>104.92788463662161</v>
      </c>
      <c r="Q28" s="15" cm="1">
        <f t="array" aca="1" ref="Q28" ca="1">_xll.BDP(J28&amp;" Govt","YAS_BOND_YLD","YAS_BOND_PX",P28,"SETTLE_DT",$A$4)</f>
        <v>3.8736299999999999</v>
      </c>
      <c r="R28" s="11"/>
      <c r="S28" s="22">
        <f t="shared" ca="1" si="15"/>
        <v>242.28730000000002</v>
      </c>
      <c r="T28" s="22">
        <f t="shared" ca="1" si="16"/>
        <v>241.88849999999999</v>
      </c>
      <c r="U28" s="15" cm="1">
        <f t="array" ref="U28">_xll.BDP($A28&amp;" Govt","BASE_CPI")</f>
        <v>214.69971000000001</v>
      </c>
      <c r="V28" s="15">
        <f t="shared" ca="1" si="17"/>
        <v>1.47743</v>
      </c>
      <c r="W28" s="14" cm="1">
        <f t="array" ref="W28">_xll.BDP($A28&amp;" Govt","YAS_RISK","YIELD_BETA_ASSUMPTION=1",)</f>
        <v>5.5768046001445546</v>
      </c>
      <c r="X28" s="15">
        <f t="shared" ca="1" si="18"/>
        <v>0.86754927462509723</v>
      </c>
      <c r="Y28" s="15">
        <f t="shared" ca="1" si="1"/>
        <v>0.29771688457309464</v>
      </c>
      <c r="Z28" s="15">
        <f t="shared" ca="1" si="2"/>
        <v>-9.2150464272621316E-2</v>
      </c>
      <c r="AA28" s="14">
        <f t="shared" ca="1" si="3"/>
        <v>34.589768571415412</v>
      </c>
      <c r="AB28" s="15" cm="1">
        <f t="array" ref="AB28">_xll.BDP(J28&amp;" Govt","YLD_YTM_MID")</f>
        <v>3.8994567</v>
      </c>
      <c r="AC28" s="19">
        <v>0.875</v>
      </c>
      <c r="AD28" s="14">
        <f t="shared" ca="1" si="4"/>
        <v>0.32283375000000114</v>
      </c>
      <c r="AE28" s="22">
        <f t="shared" ca="1" si="5"/>
        <v>242.11918328572736</v>
      </c>
      <c r="AF28" s="22" cm="1">
        <f t="array" ref="AF28">(AB28-_xll.BDP(A28&amp;" Govt","YLD_YTM_MID"))*100</f>
        <v>245.24216179292813</v>
      </c>
      <c r="AG28" s="22">
        <f t="shared" ca="1" si="6"/>
        <v>3.1229785072007701</v>
      </c>
      <c r="AI28" s="12">
        <v>2</v>
      </c>
      <c r="AJ28" s="12">
        <v>2</v>
      </c>
      <c r="AL28" s="13">
        <v>0</v>
      </c>
      <c r="AM28" s="13">
        <v>0</v>
      </c>
      <c r="AO28" s="14">
        <f t="shared" ca="1" si="19"/>
        <v>1.6557756927256604</v>
      </c>
      <c r="AP28" s="14">
        <f t="shared" ca="1" si="19"/>
        <v>1.6557756927256604</v>
      </c>
      <c r="AR28" s="5">
        <f t="shared" ca="1" si="7"/>
        <v>1.4948226240699829</v>
      </c>
      <c r="AS28" s="5">
        <f t="shared" ca="1" si="8"/>
        <v>1.4617071102154697</v>
      </c>
      <c r="AT28" cm="1">
        <f t="array" aca="1" ref="AT28" ca="1">_xll.BDP($A28&amp;" Govt","YAS_BOND_PX","YAS_BOND_YLD",AR28,"SETTLE_DT",$A$4)</f>
        <v>103.70758377406614</v>
      </c>
      <c r="AU28" cm="1">
        <f t="array" aca="1" ref="AU28" ca="1">_xll.BDP($A28&amp;" Govt","YAS_BOND_PX","YAS_BOND_YLD",AS28,"SETTLE_DT",$A$4)</f>
        <v>103.83248261215394</v>
      </c>
      <c r="AV28" s="15" t="str">
        <f t="shared" ca="1" si="9"/>
        <v>103-225</v>
      </c>
      <c r="AW28" s="15" t="str">
        <f t="shared" ca="1" si="10"/>
        <v>103-265</v>
      </c>
      <c r="AY28" cm="1">
        <f t="array" ref="AY28">_xll.BDP($A28&amp;" Govt","CBBT_PX_BID")</f>
        <v>103.828125</v>
      </c>
      <c r="AZ28" cm="1">
        <f t="array" ref="AZ28">_xll.BDP($A28&amp;" Govt","CBBT_PX_ASK")</f>
        <v>103.953125</v>
      </c>
      <c r="BA28">
        <f t="shared" si="20"/>
        <v>103.890625</v>
      </c>
      <c r="BB28" cm="1">
        <f t="array" aca="1" ref="BB28" ca="1">_xll.BDP(A28&amp;" Govt","YAS_BOND_YLD","YAS_BOND_PX",BA28,"SETTLE_DT",$A$4)</f>
        <v>1.446307</v>
      </c>
      <c r="BC28" s="15" t="str">
        <f t="shared" si="21"/>
        <v>103-264</v>
      </c>
      <c r="BD28" s="15" t="str">
        <f t="shared" si="22"/>
        <v>103-304</v>
      </c>
      <c r="BF28" s="4">
        <f t="shared" ca="1" si="23"/>
        <v>103.70758377406614</v>
      </c>
      <c r="BG28" s="4">
        <f t="shared" ca="1" si="24"/>
        <v>103.953125</v>
      </c>
      <c r="BH28" s="26">
        <f t="shared" si="25"/>
        <v>2.5</v>
      </c>
      <c r="BI28" s="17">
        <f t="shared" si="26"/>
        <v>47133</v>
      </c>
      <c r="BJ28" s="34" t="str">
        <f t="shared" ca="1" si="27"/>
        <v>103-225</v>
      </c>
      <c r="BK28" s="35" t="str">
        <f t="shared" ca="1" si="28"/>
        <v>103-304</v>
      </c>
      <c r="BL28" s="18">
        <v>100</v>
      </c>
      <c r="BM28" s="19"/>
      <c r="BN28" s="11" t="s">
        <v>153</v>
      </c>
      <c r="BO28" s="14">
        <f t="shared" ca="1" si="33"/>
        <v>3.1444375489871028</v>
      </c>
      <c r="BP28" s="14">
        <f t="shared" ca="1" si="34"/>
        <v>23.72215132467905</v>
      </c>
      <c r="BQ28" s="11" t="s">
        <v>154</v>
      </c>
      <c r="BR28" s="14">
        <f t="shared" ca="1" si="35"/>
        <v>4.450525964358035</v>
      </c>
      <c r="BS28" s="14">
        <f t="shared" ca="1" si="36"/>
        <v>22.902329890229034</v>
      </c>
      <c r="BT28" s="14">
        <f t="shared" ca="1" si="37"/>
        <v>78.128669965074863</v>
      </c>
      <c r="BU28" s="21">
        <f t="shared" si="38"/>
        <v>100</v>
      </c>
      <c r="BV28" s="14">
        <f t="shared" ca="1" si="39"/>
        <v>70.106261377324401</v>
      </c>
      <c r="BW28" s="16">
        <f t="shared" ca="1" si="40"/>
        <v>0.44052237993820753</v>
      </c>
      <c r="BX28" s="16">
        <f t="shared" ca="1" si="41"/>
        <v>0.55947762006179247</v>
      </c>
      <c r="BY28" s="11"/>
      <c r="BZ28" s="11" t="str">
        <f t="shared" si="31"/>
        <v>CT3</v>
      </c>
      <c r="CA28" s="11" t="str">
        <f t="shared" si="32"/>
        <v>CT5</v>
      </c>
      <c r="CB28" s="21">
        <f t="shared" ca="1" si="29"/>
        <v>77.377983145279046</v>
      </c>
      <c r="CC28" s="21">
        <f t="shared" ca="1" si="30"/>
        <v>61.607092852792945</v>
      </c>
    </row>
    <row r="29" spans="1:81" x14ac:dyDescent="0.25">
      <c r="A29" s="19" t="s">
        <v>11</v>
      </c>
      <c r="B29" s="11" cm="1">
        <f t="array" ref="B29">_xll.BDP(A29&amp;" Govt","COUPON")</f>
        <v>2.125</v>
      </c>
      <c r="C29" s="17" cm="1">
        <f t="array" ref="C29">DATEVALUE(_xll.BDP(A29&amp;" Govt","MATURITY"))</f>
        <v>47223</v>
      </c>
      <c r="D29" s="15" cm="1">
        <f t="array" aca="1" ref="D29" ca="1">_xll.BDH(A29&amp;"@BVN4 CUSIP","PX_MID",$A$1,$A$1)</f>
        <v>102.376953125</v>
      </c>
      <c r="E29" s="15" t="str">
        <f t="shared" ca="1" si="13"/>
        <v>102-121</v>
      </c>
      <c r="F29" s="15" cm="1">
        <f t="array" aca="1" ref="F29" ca="1">_xll.BDP(A29&amp;" Govt","YAS_BOND_YLD","YAS_BOND_PX",D29,"SETTLE_DT",$A$2)</f>
        <v>1.519039</v>
      </c>
      <c r="G29" s="15" cm="1">
        <f t="array" aca="1" ref="G29" ca="1">_xll.BDP(A29&amp;" Govt","REPO_FORWARD_PRICE","REPO_TERM_DATE",$A$4,"PX_ASK="&amp;D29,"SETTLE_DT",$A$2,"REPO_REPORATE="&amp;$A$5)</f>
        <v>102.36139030001816</v>
      </c>
      <c r="H29" s="15" cm="1">
        <f t="array" aca="1" ref="H29" ca="1">_xll.BDP(A29&amp;" Govt","YAS_BOND_YLD","YAS_BOND_PX",G29,"SETTLE_DT",$A$4)</f>
        <v>1.522567</v>
      </c>
      <c r="I29" s="11"/>
      <c r="J29" s="11" t="str">
        <f>+VLOOKUP(A29,mapping!$A:$B,2,FALSE)</f>
        <v>91282CKP5</v>
      </c>
      <c r="K29" s="11" cm="1">
        <f t="array" ref="K29">_xll.BDP(J29&amp;" Govt","COUPON")</f>
        <v>4.625</v>
      </c>
      <c r="L29" s="17" cm="1">
        <f t="array" ref="L29">DATEVALUE(_xll.BDP(J29&amp;" Govt","MATURITY"))</f>
        <v>47238</v>
      </c>
      <c r="M29" s="15" cm="1">
        <f t="array" aca="1" ref="M29" ca="1">_xll.BDH(J29&amp;"@BVN4 CUSIP","PX_MID",$A$1,$A$1)</f>
        <v>102.39453125</v>
      </c>
      <c r="N29" s="15" t="str">
        <f t="shared" ca="1" si="14"/>
        <v>102-125</v>
      </c>
      <c r="O29" s="15" cm="1">
        <f t="array" aca="1" ref="O29" ca="1">_xll.BDP(J29&amp;" Govt","YAS_BOND_YLD","YAS_BOND_PX",M29,"SETTLE_DT",$A$2)</f>
        <v>3.9854910000000001</v>
      </c>
      <c r="P29" s="15" cm="1">
        <f t="array" aca="1" ref="P29" ca="1">_xll.BDP(J29&amp;" Govt","REPO_FORWARD_PRICE","REPO_TERM_DATE",$A$4,"PX_ASK="&amp;M29,"SETTLE_DT",$A$2,"REPO_REPORATE="&amp;$A$5)</f>
        <v>102.39430655509933</v>
      </c>
      <c r="Q29" s="15" cm="1">
        <f t="array" aca="1" ref="Q29" ca="1">_xll.BDP(J29&amp;" Govt","YAS_BOND_YLD","YAS_BOND_PX",P29,"SETTLE_DT",$A$4)</f>
        <v>3.9851779999999999</v>
      </c>
      <c r="R29" s="11"/>
      <c r="S29" s="22">
        <f t="shared" ca="1" si="15"/>
        <v>246.64520000000005</v>
      </c>
      <c r="T29" s="22">
        <f t="shared" ca="1" si="16"/>
        <v>246.2611</v>
      </c>
      <c r="U29" s="15" cm="1">
        <f t="array" ref="U29">_xll.BDP($A29&amp;" Govt","BASE_CPI")</f>
        <v>309.30786999999998</v>
      </c>
      <c r="V29" s="15">
        <f t="shared" ca="1" si="17"/>
        <v>1.0255300000000001</v>
      </c>
      <c r="W29" s="14" cm="1">
        <f t="array" ref="W29">_xll.BDP($A29&amp;" Govt","YAS_RISK","YIELD_BETA_ASSUMPTION=1",)</f>
        <v>4.0743013039652434</v>
      </c>
      <c r="X29" s="15">
        <f t="shared" ca="1" si="18"/>
        <v>0.81237787510994219</v>
      </c>
      <c r="Y29" s="15">
        <f t="shared" ca="1" si="1"/>
        <v>0.27878371540147889</v>
      </c>
      <c r="Z29" s="15">
        <f t="shared" ca="1" si="2"/>
        <v>-8.6290197624264264E-2</v>
      </c>
      <c r="AA29" s="14">
        <f t="shared" ca="1" si="3"/>
        <v>23.663517816344179</v>
      </c>
      <c r="AB29" s="15" cm="1">
        <f t="array" ref="AB29">_xll.BDP(J29&amp;" Govt","YLD_YTM_MID")</f>
        <v>4.0132340618826694</v>
      </c>
      <c r="AC29" s="19">
        <v>0.875</v>
      </c>
      <c r="AD29" s="14">
        <f t="shared" ca="1" si="4"/>
        <v>0.35070077353336893</v>
      </c>
      <c r="AE29" s="22">
        <f t="shared" ca="1" si="5"/>
        <v>246.5255105759091</v>
      </c>
      <c r="AF29" s="22" cm="1">
        <f t="array" ref="AF29">(AB29-_xll.BDP(A29&amp;" Govt","YLD_YTM_MID"))*100</f>
        <v>249.76322243337887</v>
      </c>
      <c r="AG29" s="22">
        <f t="shared" ca="1" si="6"/>
        <v>3.2377118574697761</v>
      </c>
      <c r="AI29" s="12">
        <v>2</v>
      </c>
      <c r="AJ29" s="12">
        <v>2</v>
      </c>
      <c r="AL29" s="13">
        <v>0</v>
      </c>
      <c r="AM29" s="13">
        <v>0</v>
      </c>
      <c r="AO29" s="14">
        <f t="shared" ca="1" si="19"/>
        <v>1.5731685071405999</v>
      </c>
      <c r="AP29" s="14">
        <f t="shared" ca="1" si="19"/>
        <v>1.5731685071405999</v>
      </c>
      <c r="AR29" s="5">
        <f t="shared" ca="1" si="7"/>
        <v>1.5637106411949846</v>
      </c>
      <c r="AS29" s="5">
        <f t="shared" ca="1" si="8"/>
        <v>1.5322472710521726</v>
      </c>
      <c r="AT29" cm="1">
        <f t="array" aca="1" ref="AT29" ca="1">_xll.BDP($A29&amp;" Govt","YAS_BOND_PX","YAS_BOND_YLD",AR29,"SETTLE_DT",$A$4)</f>
        <v>102.19805160262695</v>
      </c>
      <c r="AU29" cm="1">
        <f t="array" aca="1" ref="AU29" ca="1">_xll.BDP($A29&amp;" Govt","YAS_BOND_PX","YAS_BOND_YLD",AS29,"SETTLE_DT",$A$4)</f>
        <v>102.32293407919461</v>
      </c>
      <c r="AV29" s="15" t="str">
        <f t="shared" ca="1" si="9"/>
        <v>102-063</v>
      </c>
      <c r="AW29" s="15" t="str">
        <f t="shared" ca="1" si="10"/>
        <v>102-103</v>
      </c>
      <c r="AY29" cm="1">
        <f t="array" ref="AY29">_xll.BDP($A29&amp;" Govt","CBBT_PX_BID")</f>
        <v>102.3515625</v>
      </c>
      <c r="AZ29" cm="1">
        <f t="array" ref="AZ29">_xll.BDP($A29&amp;" Govt","CBBT_PX_ASK")</f>
        <v>102.4296875</v>
      </c>
      <c r="BA29">
        <f t="shared" si="20"/>
        <v>102.390625</v>
      </c>
      <c r="BB29" cm="1">
        <f t="array" aca="1" ref="BB29" ca="1">_xll.BDP(A29&amp;" Govt","YAS_BOND_YLD","YAS_BOND_PX",BA29,"SETTLE_DT",$A$4)</f>
        <v>1.5152109999999999</v>
      </c>
      <c r="BC29" s="15" t="str">
        <f t="shared" si="21"/>
        <v>102-112</v>
      </c>
      <c r="BD29" s="15" t="str">
        <f t="shared" si="22"/>
        <v>102-136</v>
      </c>
      <c r="BF29" s="4">
        <f t="shared" ca="1" si="23"/>
        <v>102.19805160262695</v>
      </c>
      <c r="BG29" s="4">
        <f t="shared" ca="1" si="24"/>
        <v>102.4296875</v>
      </c>
      <c r="BH29" s="26">
        <f t="shared" si="25"/>
        <v>2.125</v>
      </c>
      <c r="BI29" s="17">
        <f t="shared" si="26"/>
        <v>47223</v>
      </c>
      <c r="BJ29" s="34" t="str">
        <f t="shared" ca="1" si="27"/>
        <v>102-063</v>
      </c>
      <c r="BK29" s="35" t="str">
        <f t="shared" ca="1" si="28"/>
        <v>102-136</v>
      </c>
      <c r="BL29" s="18">
        <v>100</v>
      </c>
      <c r="BM29" s="19"/>
      <c r="BN29" s="11" t="s">
        <v>153</v>
      </c>
      <c r="BO29" s="14">
        <f t="shared" ca="1" si="33"/>
        <v>3.1444375489871028</v>
      </c>
      <c r="BP29" s="14">
        <f t="shared" ca="1" si="34"/>
        <v>23.72215132467905</v>
      </c>
      <c r="BQ29" s="11" t="s">
        <v>154</v>
      </c>
      <c r="BR29" s="14">
        <f t="shared" ca="1" si="35"/>
        <v>4.450525964358035</v>
      </c>
      <c r="BS29" s="14">
        <f t="shared" ca="1" si="36"/>
        <v>22.902329890229034</v>
      </c>
      <c r="BT29" s="14">
        <f t="shared" ca="1" si="37"/>
        <v>35.767916914590785</v>
      </c>
      <c r="BU29" s="21">
        <f t="shared" si="38"/>
        <v>100</v>
      </c>
      <c r="BV29" s="14">
        <f t="shared" ca="1" si="39"/>
        <v>66.27534627669128</v>
      </c>
      <c r="BW29" s="16">
        <f t="shared" ca="1" si="40"/>
        <v>0.27604728419528207</v>
      </c>
      <c r="BX29" s="16">
        <f t="shared" ca="1" si="41"/>
        <v>0.72395271580471787</v>
      </c>
      <c r="BY29" s="11"/>
      <c r="BZ29" s="11" t="str">
        <f t="shared" si="31"/>
        <v>CT3</v>
      </c>
      <c r="CA29" s="11" t="str">
        <f t="shared" si="32"/>
        <v>CT5</v>
      </c>
      <c r="CB29" s="21">
        <f t="shared" ca="1" si="29"/>
        <v>35.424246610061893</v>
      </c>
      <c r="CC29" s="21">
        <f t="shared" ca="1" si="30"/>
        <v>58.240609778683272</v>
      </c>
    </row>
    <row r="30" spans="1:81" x14ac:dyDescent="0.25">
      <c r="A30" s="19" t="s">
        <v>100</v>
      </c>
      <c r="B30" s="11" cm="1">
        <f t="array" ref="B30">_xll.BDP(A30&amp;" Govt","COUPON")</f>
        <v>3.875</v>
      </c>
      <c r="C30" s="17" cm="1">
        <f t="array" ref="C30">DATEVALUE(_xll.BDP(A30&amp;" Govt","MATURITY"))</f>
        <v>47223</v>
      </c>
      <c r="D30" s="15" cm="1">
        <f t="array" aca="1" ref="D30" ca="1">_xll.BDH(A30&amp;"@BVN4 CUSIP","PX_MID",$A$1,$A$1)</f>
        <v>109.296875</v>
      </c>
      <c r="E30" s="15" t="str">
        <f t="shared" ca="1" si="13"/>
        <v>109-094</v>
      </c>
      <c r="F30" s="15" cm="1">
        <f t="array" aca="1" ref="F30" ca="1">_xll.BDP(A30&amp;" Govt","YAS_BOND_YLD","YAS_BOND_PX",D30,"SETTLE_DT",$A$2)</f>
        <v>1.505862</v>
      </c>
      <c r="G30" s="15" cm="1">
        <f t="array" aca="1" ref="G30" ca="1">_xll.BDP(A30&amp;" Govt","REPO_FORWARD_PRICE","REPO_TERM_DATE",$A$4,"PX_ASK="&amp;D30,"SETTLE_DT",$A$2,"REPO_REPORATE="&amp;$A$5)</f>
        <v>109.27600697950396</v>
      </c>
      <c r="H30" s="15" cm="1">
        <f t="array" aca="1" ref="H30" ca="1">_xll.BDP(A30&amp;" Govt","YAS_BOND_YLD","YAS_BOND_PX",G30,"SETTLE_DT",$A$4)</f>
        <v>1.509444</v>
      </c>
      <c r="I30" s="11"/>
      <c r="J30" s="11" t="str">
        <f>+VLOOKUP(A30,mapping!$A:$B,2,FALSE)</f>
        <v>912810FG8</v>
      </c>
      <c r="K30" s="11" cm="1">
        <f t="array" ref="K30">_xll.BDP(J30&amp;" Govt","COUPON")</f>
        <v>5.25</v>
      </c>
      <c r="L30" s="17" cm="1">
        <f t="array" ref="L30">DATEVALUE(_xll.BDP(J30&amp;" Govt","MATURITY"))</f>
        <v>47164</v>
      </c>
      <c r="M30" s="15" cm="1">
        <f t="array" aca="1" ref="M30" ca="1">_xll.BDH(J30&amp;"@BVN4 CUSIP","PX_MID",$A$1,$A$1)</f>
        <v>104.9296875</v>
      </c>
      <c r="N30" s="15" t="str">
        <f t="shared" ca="1" si="14"/>
        <v>104-296</v>
      </c>
      <c r="O30" s="15" cm="1">
        <f t="array" aca="1" ref="O30" ca="1">_xll.BDP(J30&amp;" Govt","YAS_BOND_YLD","YAS_BOND_PX",M30,"SETTLE_DT",$A$2)</f>
        <v>3.8740429999999999</v>
      </c>
      <c r="P30" s="15" cm="1">
        <f t="array" aca="1" ref="P30" ca="1">_xll.BDP(J30&amp;" Govt","REPO_FORWARD_PRICE","REPO_TERM_DATE",$A$4,"PX_ASK="&amp;M30,"SETTLE_DT",$A$2,"REPO_REPORATE="&amp;$A$5)</f>
        <v>104.92788463662161</v>
      </c>
      <c r="Q30" s="15" cm="1">
        <f t="array" aca="1" ref="Q30" ca="1">_xll.BDP(J30&amp;" Govt","YAS_BOND_YLD","YAS_BOND_PX",P30,"SETTLE_DT",$A$4)</f>
        <v>3.8736299999999999</v>
      </c>
      <c r="R30" s="11"/>
      <c r="S30" s="22">
        <f t="shared" ca="1" si="15"/>
        <v>236.81809999999999</v>
      </c>
      <c r="T30" s="22">
        <f t="shared" ca="1" si="16"/>
        <v>236.41860000000003</v>
      </c>
      <c r="U30" s="15" cm="1">
        <f t="array" ref="U30">_xll.BDP($A30&amp;" Govt","BASE_CPI")</f>
        <v>164.39332999999999</v>
      </c>
      <c r="V30" s="15">
        <f t="shared" ca="1" si="17"/>
        <v>1.9295500000000001</v>
      </c>
      <c r="W30" s="14" cm="1">
        <f t="array" ref="W30">_xll.BDP($A30&amp;" Govt","YAS_RISK","YIELD_BETA_ASSUMPTION=1",)</f>
        <v>7.9673646150139739</v>
      </c>
      <c r="X30" s="15">
        <f t="shared" ca="1" si="18"/>
        <v>0.8344664100317436</v>
      </c>
      <c r="Y30" s="15">
        <f t="shared" ca="1" si="1"/>
        <v>0.28636383793059345</v>
      </c>
      <c r="Z30" s="15">
        <f t="shared" ca="1" si="2"/>
        <v>-8.8636426026132975E-2</v>
      </c>
      <c r="AA30" s="14">
        <f t="shared" ca="1" si="3"/>
        <v>47.532606444745973</v>
      </c>
      <c r="AB30" s="15" cm="1">
        <f t="array" ref="AB30">_xll.BDP(J30&amp;" Govt","YLD_YTM_MID")</f>
        <v>3.8994567</v>
      </c>
      <c r="AC30" s="19">
        <v>0.875</v>
      </c>
      <c r="AD30" s="14">
        <f t="shared" ca="1" si="4"/>
        <v>0.32283375000000114</v>
      </c>
      <c r="AE30" s="22">
        <f t="shared" ca="1" si="5"/>
        <v>236.65279732397389</v>
      </c>
      <c r="AF30" s="22" cm="1">
        <f t="array" ref="AF30">(AB30-_xll.BDP(A30&amp;" Govt","YLD_YTM_MID"))*100</f>
        <v>239.92643474635119</v>
      </c>
      <c r="AG30" s="22">
        <f t="shared" ca="1" si="6"/>
        <v>3.2736374223773055</v>
      </c>
      <c r="AI30" s="12">
        <v>3.5</v>
      </c>
      <c r="AJ30" s="12">
        <v>3.5</v>
      </c>
      <c r="AL30" s="13">
        <v>0</v>
      </c>
      <c r="AM30" s="13">
        <v>0</v>
      </c>
      <c r="AO30" s="14">
        <f t="shared" ca="1" si="19"/>
        <v>2.6488624714413156</v>
      </c>
      <c r="AP30" s="14">
        <f t="shared" ca="1" si="19"/>
        <v>2.6488624714413156</v>
      </c>
      <c r="AR30" s="5">
        <f t="shared" ca="1" si="7"/>
        <v>1.5594173514746741</v>
      </c>
      <c r="AS30" s="5">
        <f t="shared" ca="1" si="8"/>
        <v>1.5064401020458478</v>
      </c>
      <c r="AT30" cm="1">
        <f t="array" aca="1" ref="AT30" ca="1">_xll.BDP($A30&amp;" Govt","YAS_BOND_PX","YAS_BOND_YLD",AR30,"SETTLE_DT",$A$4)</f>
        <v>109.06984450471643</v>
      </c>
      <c r="AU30" cm="1">
        <f t="array" aca="1" ref="AU30" ca="1">_xll.BDP($A30&amp;" Govt","YAS_BOND_PX","YAS_BOND_YLD",AS30,"SETTLE_DT",$A$4)</f>
        <v>109.28841523533752</v>
      </c>
      <c r="AV30" s="15" t="str">
        <f t="shared" ca="1" si="9"/>
        <v>109-022</v>
      </c>
      <c r="AW30" s="15" t="str">
        <f t="shared" ca="1" si="10"/>
        <v>109-092</v>
      </c>
      <c r="AY30" cm="1">
        <f t="array" ref="AY30">_xll.BDP($A30&amp;" Govt","CBBT_PX_BID")</f>
        <v>109.25</v>
      </c>
      <c r="AZ30" cm="1">
        <f t="array" ref="AZ30">_xll.BDP($A30&amp;" Govt","CBBT_PX_ASK")</f>
        <v>109.390625</v>
      </c>
      <c r="BA30">
        <f t="shared" si="20"/>
        <v>109.3203125</v>
      </c>
      <c r="BB30" cm="1">
        <f t="array" aca="1" ref="BB30" ca="1">_xll.BDP(A30&amp;" Govt","YAS_BOND_YLD","YAS_BOND_PX",BA30,"SETTLE_DT",$A$4)</f>
        <v>1.4987189999999999</v>
      </c>
      <c r="BC30" s="15" t="str">
        <f t="shared" si="21"/>
        <v>109-080</v>
      </c>
      <c r="BD30" s="15" t="str">
        <f t="shared" si="22"/>
        <v>109-124</v>
      </c>
      <c r="BF30" s="4">
        <f t="shared" ca="1" si="23"/>
        <v>109.06984450471643</v>
      </c>
      <c r="BG30" s="4">
        <f t="shared" ca="1" si="24"/>
        <v>109.390625</v>
      </c>
      <c r="BH30" s="26">
        <f t="shared" si="25"/>
        <v>3.875</v>
      </c>
      <c r="BI30" s="17">
        <f t="shared" si="26"/>
        <v>47223</v>
      </c>
      <c r="BJ30" s="34" t="str">
        <f t="shared" ca="1" si="27"/>
        <v>109-022</v>
      </c>
      <c r="BK30" s="35" t="str">
        <f t="shared" ca="1" si="28"/>
        <v>109-124</v>
      </c>
      <c r="BL30" s="18">
        <v>100</v>
      </c>
      <c r="BM30" s="19"/>
      <c r="BN30" s="11" t="s">
        <v>153</v>
      </c>
      <c r="BO30" s="14">
        <f t="shared" ca="1" si="33"/>
        <v>3.1444375489871028</v>
      </c>
      <c r="BP30" s="14">
        <f t="shared" ca="1" si="34"/>
        <v>23.72215132467905</v>
      </c>
      <c r="BQ30" s="11" t="s">
        <v>154</v>
      </c>
      <c r="BR30" s="14">
        <f t="shared" ca="1" si="35"/>
        <v>4.450525964358035</v>
      </c>
      <c r="BS30" s="14">
        <f t="shared" ca="1" si="36"/>
        <v>22.902329890229034</v>
      </c>
      <c r="BT30" s="14">
        <f t="shared" ca="1" si="37"/>
        <v>86.629707047603418</v>
      </c>
      <c r="BU30" s="21">
        <f t="shared" si="38"/>
        <v>100</v>
      </c>
      <c r="BV30" s="14">
        <f t="shared" ca="1" si="39"/>
        <v>117.81411051239492</v>
      </c>
      <c r="BW30" s="16">
        <f t="shared" ca="1" si="40"/>
        <v>0.34189687162667787</v>
      </c>
      <c r="BX30" s="16">
        <f t="shared" ca="1" si="41"/>
        <v>0.65810312837332208</v>
      </c>
      <c r="BY30" s="11"/>
      <c r="BZ30" s="11" t="str">
        <f t="shared" si="31"/>
        <v>CT3</v>
      </c>
      <c r="CA30" s="11" t="str">
        <f t="shared" si="32"/>
        <v>CT5</v>
      </c>
      <c r="CB30" s="21">
        <f t="shared" ca="1" si="29"/>
        <v>85.797339373707544</v>
      </c>
      <c r="CC30" s="21">
        <f t="shared" ca="1" si="30"/>
        <v>103.53119255128266</v>
      </c>
    </row>
    <row r="31" spans="1:81" x14ac:dyDescent="0.25">
      <c r="A31" s="19" t="s">
        <v>55</v>
      </c>
      <c r="B31" s="11" cm="1">
        <f t="array" ref="B31">_xll.BDP(A31&amp;" Govt","COUPON")</f>
        <v>0.25</v>
      </c>
      <c r="C31" s="17" cm="1">
        <f t="array" ref="C31">DATEVALUE(_xll.BDP(A31&amp;" Govt","MATURITY"))</f>
        <v>47314</v>
      </c>
      <c r="D31" s="15" cm="1">
        <f t="array" aca="1" ref="D31" ca="1">_xll.BDH(A31&amp;"@BVN4 CUSIP","PX_MID",$A$1,$A$1)</f>
        <v>95.173828125</v>
      </c>
      <c r="E31" s="15" t="str">
        <f t="shared" ca="1" si="13"/>
        <v>95-055</v>
      </c>
      <c r="F31" s="15" cm="1">
        <f t="array" aca="1" ref="F31" ca="1">_xll.BDP(A31&amp;" Govt","YAS_BOND_YLD","YAS_BOND_PX",D31,"SETTLE_DT",$A$2)</f>
        <v>1.4074150000000001</v>
      </c>
      <c r="G31" s="15" cm="1">
        <f t="array" aca="1" ref="G31" ca="1">_xll.BDP(A31&amp;" Govt","REPO_FORWARD_PRICE","REPO_TERM_DATE",$A$4,"PX_ASK="&amp;D31,"SETTLE_DT",$A$2,"REPO_REPORATE="&amp;$A$5)</f>
        <v>95.164636921908681</v>
      </c>
      <c r="H31" s="15" cm="1">
        <f t="array" aca="1" ref="H31" ca="1">_xll.BDP(A31&amp;" Govt","YAS_BOND_YLD","YAS_BOND_PX",G31,"SETTLE_DT",$A$4)</f>
        <v>1.410423</v>
      </c>
      <c r="I31" s="11"/>
      <c r="J31" s="11" t="str">
        <f>+VLOOKUP(A31,mapping!$A:$B,2,FALSE)</f>
        <v>912828YB0</v>
      </c>
      <c r="K31" s="11" cm="1">
        <f t="array" ref="K31">_xll.BDP(J31&amp;" Govt","COUPON")</f>
        <v>1.625</v>
      </c>
      <c r="L31" s="17" cm="1">
        <f t="array" ref="L31">DATEVALUE(_xll.BDP(J31&amp;" Govt","MATURITY"))</f>
        <v>47345</v>
      </c>
      <c r="M31" s="15" cm="1">
        <f t="array" aca="1" ref="M31" ca="1">_xll.BDH(J31&amp;"@BVN4 CUSIP","PX_MID",$A$1,$A$1)</f>
        <v>90.6484375</v>
      </c>
      <c r="N31" s="15" t="str">
        <f t="shared" ca="1" si="14"/>
        <v>90-206</v>
      </c>
      <c r="O31" s="15" cm="1">
        <f t="array" aca="1" ref="O31" ca="1">_xll.BDP(J31&amp;" Govt","YAS_BOND_YLD","YAS_BOND_PX",M31,"SETTLE_DT",$A$2)</f>
        <v>3.9627110000000001</v>
      </c>
      <c r="P31" s="15" cm="1">
        <f t="array" aca="1" ref="P31" ca="1">_xll.BDP(J31&amp;" Govt","REPO_FORWARD_PRICE","REPO_TERM_DATE",$A$4,"PX_ASK="&amp;M31,"SETTLE_DT",$A$2,"REPO_REPORATE="&amp;$A$5)</f>
        <v>90.654884132549924</v>
      </c>
      <c r="Q31" s="15" cm="1">
        <f t="array" aca="1" ref="Q31" ca="1">_xll.BDP(J31&amp;" Govt","YAS_BOND_YLD","YAS_BOND_PX",P31,"SETTLE_DT",$A$4)</f>
        <v>3.9624220000000001</v>
      </c>
      <c r="R31" s="11"/>
      <c r="S31" s="22">
        <f t="shared" ca="1" si="15"/>
        <v>255.52960000000002</v>
      </c>
      <c r="T31" s="22">
        <f t="shared" ca="1" si="16"/>
        <v>255.19990000000004</v>
      </c>
      <c r="U31" s="15" cm="1">
        <f t="array" ref="U31">_xll.BDP($A31&amp;" Govt","BASE_CPI")</f>
        <v>255.79367999999999</v>
      </c>
      <c r="V31" s="15">
        <f t="shared" ca="1" si="17"/>
        <v>1.2400800000000001</v>
      </c>
      <c r="W31" s="14" cm="1">
        <f t="array" ref="W31">_xll.BDP($A31&amp;" Govt","YAS_RISK","YIELD_BETA_ASSUMPTION=1",)</f>
        <v>5.0256558395624165</v>
      </c>
      <c r="X31" s="15">
        <f t="shared" ca="1" si="18"/>
        <v>0.74034642498253422</v>
      </c>
      <c r="Y31" s="15">
        <f t="shared" ca="1" si="1"/>
        <v>0.25406468266125626</v>
      </c>
      <c r="Z31" s="15">
        <f t="shared" ca="1" si="2"/>
        <v>-7.8639068442767052E-2</v>
      </c>
      <c r="AA31" s="14">
        <f t="shared" ca="1" si="3"/>
        <v>26.600867834231558</v>
      </c>
      <c r="AB31" s="15" cm="1">
        <f t="array" ref="AB31">_xll.BDP(J31&amp;" Govt","YLD_YTM_MID")</f>
        <v>3.9895874749995905</v>
      </c>
      <c r="AC31" s="19">
        <v>0.875</v>
      </c>
      <c r="AD31" s="14">
        <f t="shared" ca="1" si="4"/>
        <v>0.33956843749488042</v>
      </c>
      <c r="AE31" s="22">
        <f t="shared" ca="1" si="5"/>
        <v>255.46082936905216</v>
      </c>
      <c r="AF31" s="22" cm="1">
        <f t="array" ref="AF31">(AB31-_xll.BDP(A31&amp;" Govt","YLD_YTM_MID"))*100</f>
        <v>258.74693411042415</v>
      </c>
      <c r="AG31" s="22">
        <f t="shared" ca="1" si="6"/>
        <v>3.2861047413719859</v>
      </c>
      <c r="AI31" s="12">
        <v>2</v>
      </c>
      <c r="AJ31" s="12">
        <v>2</v>
      </c>
      <c r="AL31" s="13">
        <v>0</v>
      </c>
      <c r="AM31" s="13">
        <v>0</v>
      </c>
      <c r="AO31" s="14">
        <f t="shared" ca="1" si="19"/>
        <v>1.5421867806759397</v>
      </c>
      <c r="AP31" s="14">
        <f t="shared" ca="1" si="19"/>
        <v>1.5421867806759397</v>
      </c>
      <c r="AR31" s="5">
        <f t="shared" ca="1" si="7"/>
        <v>1.4504010491158283</v>
      </c>
      <c r="AS31" s="5">
        <f t="shared" ca="1" si="8"/>
        <v>1.4195573135023094</v>
      </c>
      <c r="AT31" cm="1">
        <f t="array" aca="1" ref="AT31" ca="1">_xll.BDP($A31&amp;" Govt","YAS_BOND_PX","YAS_BOND_YLD",AR31,"SETTLE_DT",$A$4)</f>
        <v>95.002781513086717</v>
      </c>
      <c r="AU31" cm="1">
        <f t="array" aca="1" ref="AU31" ca="1">_xll.BDP($A31&amp;" Govt","YAS_BOND_PX","YAS_BOND_YLD",AS31,"SETTLE_DT",$A$4)</f>
        <v>95.127628050706235</v>
      </c>
      <c r="AV31" s="15" t="str">
        <f t="shared" ca="1" si="9"/>
        <v>95-001</v>
      </c>
      <c r="AW31" s="15" t="str">
        <f t="shared" ca="1" si="10"/>
        <v>95-041</v>
      </c>
      <c r="AY31" cm="1">
        <f t="array" ref="AY31">_xll.BDP($A31&amp;" Govt","CBBT_PX_BID")</f>
        <v>95.1484375</v>
      </c>
      <c r="AZ31" cm="1">
        <f t="array" ref="AZ31">_xll.BDP($A31&amp;" Govt","CBBT_PX_ASK")</f>
        <v>95.2421875</v>
      </c>
      <c r="BA31">
        <f t="shared" si="20"/>
        <v>95.1953125</v>
      </c>
      <c r="BB31" cm="1">
        <f t="array" aca="1" ref="BB31" ca="1">_xll.BDP(A31&amp;" Govt","YAS_BOND_YLD","YAS_BOND_PX",BA31,"SETTLE_DT",$A$4)</f>
        <v>1.402855</v>
      </c>
      <c r="BC31" s="15" t="str">
        <f t="shared" si="21"/>
        <v>95-046</v>
      </c>
      <c r="BD31" s="15" t="str">
        <f t="shared" si="22"/>
        <v>95-076</v>
      </c>
      <c r="BF31" s="4">
        <f t="shared" ca="1" si="23"/>
        <v>95.002781513086717</v>
      </c>
      <c r="BG31" s="4">
        <f t="shared" ca="1" si="24"/>
        <v>95.2421875</v>
      </c>
      <c r="BH31" s="26">
        <f t="shared" si="25"/>
        <v>0.25</v>
      </c>
      <c r="BI31" s="17">
        <f t="shared" si="26"/>
        <v>47314</v>
      </c>
      <c r="BJ31" s="34" t="str">
        <f t="shared" ca="1" si="27"/>
        <v>95-001</v>
      </c>
      <c r="BK31" s="35" t="str">
        <f t="shared" ca="1" si="28"/>
        <v>95-076</v>
      </c>
      <c r="BL31" s="18">
        <v>100</v>
      </c>
      <c r="BM31" s="19"/>
      <c r="BN31" s="11" t="s">
        <v>153</v>
      </c>
      <c r="BO31" s="14">
        <f t="shared" ca="1" si="33"/>
        <v>3.1444375489871028</v>
      </c>
      <c r="BP31" s="14">
        <f t="shared" ca="1" si="34"/>
        <v>23.72215132467905</v>
      </c>
      <c r="BQ31" s="11" t="s">
        <v>154</v>
      </c>
      <c r="BR31" s="14">
        <f t="shared" ca="1" si="35"/>
        <v>4.450525964358035</v>
      </c>
      <c r="BS31" s="14">
        <f t="shared" ca="1" si="36"/>
        <v>22.902329890229034</v>
      </c>
      <c r="BT31" s="14">
        <f t="shared" ca="1" si="37"/>
        <v>9.7989177754230141</v>
      </c>
      <c r="BU31" s="21">
        <f t="shared" si="38"/>
        <v>100</v>
      </c>
      <c r="BV31" s="14">
        <f t="shared" ca="1" si="39"/>
        <v>105.99949370968613</v>
      </c>
      <c r="BW31" s="16">
        <f t="shared" ca="1" si="40"/>
        <v>6.1309580234129406E-2</v>
      </c>
      <c r="BX31" s="16">
        <f t="shared" ca="1" si="41"/>
        <v>0.93869041976587064</v>
      </c>
      <c r="BY31" s="11"/>
      <c r="BZ31" s="11" t="str">
        <f t="shared" si="31"/>
        <v>CT3</v>
      </c>
      <c r="CA31" s="11" t="str">
        <f t="shared" si="32"/>
        <v>CT5</v>
      </c>
      <c r="CB31" s="21">
        <f t="shared" ca="1" si="29"/>
        <v>9.7047664424288502</v>
      </c>
      <c r="CC31" s="21">
        <f t="shared" ca="1" si="30"/>
        <v>93.148893166251241</v>
      </c>
    </row>
    <row r="32" spans="1:81" x14ac:dyDescent="0.25">
      <c r="A32" s="19" t="s">
        <v>5</v>
      </c>
      <c r="B32" s="11" cm="1">
        <f t="array" ref="B32">_xll.BDP(A32&amp;" Govt","COUPON")</f>
        <v>1.625</v>
      </c>
      <c r="C32" s="17" cm="1">
        <f t="array" ref="C32">DATEVALUE(_xll.BDP(A32&amp;" Govt","MATURITY"))</f>
        <v>47406</v>
      </c>
      <c r="D32" s="15" cm="1">
        <f t="array" aca="1" ref="D32" ca="1">_xll.BDH(A32&amp;"@BVN4 CUSIP","PX_MID",$A$1,$A$1)</f>
        <v>100.796875</v>
      </c>
      <c r="E32" s="15" t="str">
        <f t="shared" ca="1" si="13"/>
        <v>100-254</v>
      </c>
      <c r="F32" s="15" cm="1">
        <f t="array" aca="1" ref="F32" ca="1">_xll.BDP(A32&amp;" Govt","YAS_BOND_YLD","YAS_BOND_PX",D32,"SETTLE_DT",$A$2)</f>
        <v>1.443748</v>
      </c>
      <c r="G32" s="15" cm="1">
        <f t="array" aca="1" ref="G32" ca="1">_xll.BDP(A32&amp;" Govt","REPO_FORWARD_PRICE","REPO_TERM_DATE",$A$4,"PX_ASK="&amp;D32,"SETTLE_DT",$A$2,"REPO_REPORATE="&amp;$A$5)</f>
        <v>100.78348574289157</v>
      </c>
      <c r="H32" s="15" cm="1">
        <f t="array" aca="1" ref="H32" ca="1">_xll.BDP(A32&amp;" Govt","YAS_BOND_YLD","YAS_BOND_PX",G32,"SETTLE_DT",$A$4)</f>
        <v>1.4466779999999999</v>
      </c>
      <c r="I32" s="11"/>
      <c r="J32" s="11" t="str">
        <f>+VLOOKUP(A32,mapping!$A:$B,2,FALSE)</f>
        <v>91282CLR0</v>
      </c>
      <c r="K32" s="11" cm="1">
        <f t="array" ref="K32">_xll.BDP(J32&amp;" Govt","COUPON")</f>
        <v>4.125</v>
      </c>
      <c r="L32" s="17" cm="1">
        <f t="array" ref="L32">DATEVALUE(_xll.BDP(J32&amp;" Govt","MATURITY"))</f>
        <v>47422</v>
      </c>
      <c r="M32" s="15" cm="1">
        <f t="array" aca="1" ref="M32" ca="1">_xll.BDH(J32&amp;"@BVN4 CUSIP","PX_MID",$A$1,$A$1)</f>
        <v>100.49609375</v>
      </c>
      <c r="N32" s="15" t="str">
        <f t="shared" ca="1" si="14"/>
        <v>100-157</v>
      </c>
      <c r="O32" s="15" cm="1">
        <f t="array" aca="1" ref="O32" ca="1">_xll.BDP(J32&amp;" Govt","YAS_BOND_YLD","YAS_BOND_PX",M32,"SETTLE_DT",$A$2)</f>
        <v>4.0050929999999996</v>
      </c>
      <c r="P32" s="15" cm="1">
        <f t="array" aca="1" ref="P32" ca="1">_xll.BDP(J32&amp;" Govt","REPO_FORWARD_PRICE","REPO_TERM_DATE",$A$4,"PX_ASK="&amp;M32,"SETTLE_DT",$A$2,"REPO_REPORATE="&amp;$A$5)</f>
        <v>100.49699771677709</v>
      </c>
      <c r="Q32" s="15" cm="1">
        <f t="array" aca="1" ref="Q32" ca="1">_xll.BDP(J32&amp;" Govt","YAS_BOND_YLD","YAS_BOND_PX",P32,"SETTLE_DT",$A$4)</f>
        <v>4.0048269999999997</v>
      </c>
      <c r="R32" s="11"/>
      <c r="S32" s="22">
        <f t="shared" ca="1" si="15"/>
        <v>256.13449999999995</v>
      </c>
      <c r="T32" s="22">
        <f t="shared" ca="1" si="16"/>
        <v>255.81489999999997</v>
      </c>
      <c r="U32" s="15" cm="1">
        <f t="array" ref="U32">_xll.BDP($A32&amp;" Govt","BASE_CPI")</f>
        <v>314.65561000000002</v>
      </c>
      <c r="V32" s="15">
        <f t="shared" ca="1" si="17"/>
        <v>1.0081</v>
      </c>
      <c r="W32" s="14" cm="1">
        <f t="array" ref="W32">_xll.BDP($A32&amp;" Govt","YAS_RISK","YIELD_BETA_ASSUMPTION=1",)</f>
        <v>4.450525964358035</v>
      </c>
      <c r="X32" s="15">
        <f t="shared" ca="1" si="18"/>
        <v>0.71978078658041433</v>
      </c>
      <c r="Y32" s="15">
        <f t="shared" ca="1" si="1"/>
        <v>0.24700717253080079</v>
      </c>
      <c r="Z32" s="15">
        <f t="shared" ca="1" si="2"/>
        <v>-7.645460102143567E-2</v>
      </c>
      <c r="AA32" s="14">
        <f t="shared" ca="1" si="3"/>
        <v>22.902329890229034</v>
      </c>
      <c r="AB32" s="15" cm="1">
        <f t="array" ref="AB32">_xll.BDP(J32&amp;" Govt","YLD_YTM_MID")</f>
        <v>4.0322241620852655</v>
      </c>
      <c r="AC32" s="19">
        <v>0.75</v>
      </c>
      <c r="AD32" s="14">
        <f t="shared" ca="1" si="4"/>
        <v>0.68492905213164423</v>
      </c>
      <c r="AE32" s="22">
        <f t="shared" ca="1" si="5"/>
        <v>256.42337445111013</v>
      </c>
      <c r="AF32" s="22" cm="1">
        <f t="array" ref="AF32">(AB32-_xll.BDP(A32&amp;" Govt","YLD_YTM_MID"))*100</f>
        <v>259.37804877660756</v>
      </c>
      <c r="AG32" s="22">
        <f t="shared" ca="1" si="6"/>
        <v>2.9546743254974217</v>
      </c>
      <c r="AI32" s="12">
        <v>2</v>
      </c>
      <c r="AJ32" s="12">
        <v>2</v>
      </c>
      <c r="AL32" s="13">
        <v>0</v>
      </c>
      <c r="AM32" s="13">
        <v>0</v>
      </c>
      <c r="AO32" s="14">
        <f t="shared" ca="1" si="19"/>
        <v>1.4157034585256782</v>
      </c>
      <c r="AP32" s="14">
        <f t="shared" ca="1" si="19"/>
        <v>1.4157034585256782</v>
      </c>
      <c r="AR32" s="5">
        <f t="shared" ca="1" si="7"/>
        <v>1.4821474521594209</v>
      </c>
      <c r="AS32" s="5">
        <f t="shared" ca="1" si="8"/>
        <v>1.4538333829889072</v>
      </c>
      <c r="AT32" cm="1">
        <f t="array" aca="1" ref="AT32" ca="1">_xll.BDP($A32&amp;" Govt","YAS_BOND_PX","YAS_BOND_YLD",AR32,"SETTLE_DT",$A$4)</f>
        <v>100.62702360750005</v>
      </c>
      <c r="AU32" cm="1">
        <f t="array" aca="1" ref="AU32" ca="1">_xll.BDP($A32&amp;" Govt","YAS_BOND_PX","YAS_BOND_YLD",AS32,"SETTLE_DT",$A$4)</f>
        <v>100.75189850266233</v>
      </c>
      <c r="AV32" s="15" t="str">
        <f t="shared" ca="1" si="9"/>
        <v>100-201</v>
      </c>
      <c r="AW32" s="15" t="str">
        <f t="shared" ca="1" si="10"/>
        <v>100-240</v>
      </c>
      <c r="AY32" cm="1">
        <f t="array" ref="AY32">_xll.BDP($A32&amp;" Govt","CBBT_PX_BID")</f>
        <v>100.78125</v>
      </c>
      <c r="AZ32" cm="1">
        <f t="array" ref="AZ32">_xll.BDP($A32&amp;" Govt","CBBT_PX_ASK")</f>
        <v>100.859375</v>
      </c>
      <c r="BA32">
        <f t="shared" si="20"/>
        <v>100.8203125</v>
      </c>
      <c r="BB32" cm="1">
        <f t="array" aca="1" ref="BB32" ca="1">_xll.BDP(A32&amp;" Govt","YAS_BOND_YLD","YAS_BOND_PX",BA32,"SETTLE_DT",$A$4)</f>
        <v>1.4383379999999999</v>
      </c>
      <c r="BC32" s="15" t="str">
        <f t="shared" si="21"/>
        <v>100-250</v>
      </c>
      <c r="BD32" s="15" t="str">
        <f t="shared" si="22"/>
        <v>100-274</v>
      </c>
      <c r="BF32" s="4">
        <f t="shared" ca="1" si="23"/>
        <v>100.62702360750005</v>
      </c>
      <c r="BG32" s="4">
        <f t="shared" ca="1" si="24"/>
        <v>100.859375</v>
      </c>
      <c r="BH32" s="26">
        <f t="shared" si="25"/>
        <v>1.625</v>
      </c>
      <c r="BI32" s="17">
        <f t="shared" si="26"/>
        <v>47406</v>
      </c>
      <c r="BJ32" s="34" t="str">
        <f t="shared" ca="1" si="27"/>
        <v>100-201</v>
      </c>
      <c r="BK32" s="35" t="str">
        <f t="shared" ca="1" si="28"/>
        <v>100-274</v>
      </c>
      <c r="BL32" s="18">
        <v>100</v>
      </c>
      <c r="BM32" s="19" t="s">
        <v>154</v>
      </c>
      <c r="BN32" s="11"/>
      <c r="BO32" s="14"/>
      <c r="BP32" s="14"/>
      <c r="BQ32" s="11"/>
      <c r="BR32" s="14"/>
      <c r="BS32" s="14"/>
      <c r="BT32" s="14"/>
      <c r="BU32" s="11"/>
      <c r="BV32" s="14"/>
      <c r="BW32" s="20">
        <v>1</v>
      </c>
      <c r="BX32" s="16"/>
      <c r="BY32" s="11"/>
      <c r="BZ32" s="11" t="str">
        <f t="shared" si="31"/>
        <v>CT5</v>
      </c>
      <c r="CA32" s="11" t="str">
        <f t="shared" si="32"/>
        <v/>
      </c>
      <c r="CB32" s="21">
        <f t="shared" si="29"/>
        <v>75.32291488758257</v>
      </c>
      <c r="CC32" s="21" t="str">
        <f t="shared" si="30"/>
        <v>--</v>
      </c>
    </row>
    <row r="33" spans="1:81" x14ac:dyDescent="0.25">
      <c r="A33" s="19" t="s">
        <v>53</v>
      </c>
      <c r="B33" s="11" cm="1">
        <f t="array" ref="B33">_xll.BDP(A33&amp;" Govt","COUPON")</f>
        <v>0.125</v>
      </c>
      <c r="C33" s="17" cm="1">
        <f t="array" ref="C33">DATEVALUE(_xll.BDP(A33&amp;" Govt","MATURITY"))</f>
        <v>47498</v>
      </c>
      <c r="D33" s="15" cm="1">
        <f t="array" aca="1" ref="D33" ca="1">_xll.BDH(A33&amp;"@BVN4 CUSIP","PX_MID",$A$1,$A$1)</f>
        <v>93.404296875</v>
      </c>
      <c r="E33" s="15" t="str">
        <f t="shared" ca="1" si="13"/>
        <v>93-128</v>
      </c>
      <c r="F33" s="15" cm="1">
        <f t="array" aca="1" ref="F33" ca="1">_xll.BDP(A33&amp;" Govt","YAS_BOND_YLD","YAS_BOND_PX",D33,"SETTLE_DT",$A$2)</f>
        <v>1.5527790000000001</v>
      </c>
      <c r="G33" s="15" cm="1">
        <f t="array" aca="1" ref="G33" ca="1">_xll.BDP(A33&amp;" Govt","REPO_FORWARD_PRICE","REPO_TERM_DATE",$A$4,"PX_ASK="&amp;D33,"SETTLE_DT",$A$2,"REPO_REPORATE="&amp;$A$5)</f>
        <v>93.395496952129605</v>
      </c>
      <c r="H33" s="15" cm="1">
        <f t="array" aca="1" ref="H33" ca="1">_xll.BDP(A33&amp;" Govt","YAS_BOND_YLD","YAS_BOND_PX",G33,"SETTLE_DT",$A$4)</f>
        <v>1.555579</v>
      </c>
      <c r="I33" s="11"/>
      <c r="J33" s="11" t="str">
        <f>+VLOOKUP(A33,mapping!$A:$B,2,FALSE)</f>
        <v>912828Z94</v>
      </c>
      <c r="K33" s="11" cm="1">
        <f t="array" ref="K33">_xll.BDP(J33&amp;" Govt","COUPON")</f>
        <v>1.5</v>
      </c>
      <c r="L33" s="17" cm="1">
        <f t="array" ref="L33">DATEVALUE(_xll.BDP(J33&amp;" Govt","MATURITY"))</f>
        <v>47529</v>
      </c>
      <c r="M33" s="15" cm="1">
        <f t="array" aca="1" ref="M33" ca="1">_xll.BDH(J33&amp;"@BVN4 CUSIP","PX_MID",$A$1,$A$1)</f>
        <v>88.90625</v>
      </c>
      <c r="N33" s="15" t="str">
        <f t="shared" ca="1" si="14"/>
        <v>88-290</v>
      </c>
      <c r="O33" s="15" cm="1">
        <f t="array" aca="1" ref="O33" ca="1">_xll.BDP(J33&amp;" Govt","YAS_BOND_YLD","YAS_BOND_PX",M33,"SETTLE_DT",$A$2)</f>
        <v>4.017531</v>
      </c>
      <c r="P33" s="15" cm="1">
        <f t="array" aca="1" ref="P33" ca="1">_xll.BDP(J33&amp;" Govt","REPO_FORWARD_PRICE","REPO_TERM_DATE",$A$4,"PX_ASK="&amp;M33,"SETTLE_DT",$A$2,"REPO_REPORATE="&amp;$A$5)</f>
        <v>88.912830609533259</v>
      </c>
      <c r="Q33" s="15" cm="1">
        <f t="array" aca="1" ref="Q33" ca="1">_xll.BDP(J33&amp;" Govt","YAS_BOND_YLD","YAS_BOND_PX",P33,"SETTLE_DT",$A$4)</f>
        <v>4.0173030000000001</v>
      </c>
      <c r="R33" s="11"/>
      <c r="S33" s="22">
        <f t="shared" ca="1" si="15"/>
        <v>246.47519999999997</v>
      </c>
      <c r="T33" s="22">
        <f t="shared" ca="1" si="16"/>
        <v>246.17240000000004</v>
      </c>
      <c r="U33" s="15" cm="1">
        <f t="array" ref="U33">_xll.BDP($A33&amp;" Govt","BASE_CPI")</f>
        <v>257.28368</v>
      </c>
      <c r="V33" s="15">
        <f t="shared" ca="1" si="17"/>
        <v>1.2329000000000001</v>
      </c>
      <c r="W33" s="14" cm="1">
        <f t="array" ref="W33">_xll.BDP($A33&amp;" Govt","YAS_RISK","YIELD_BETA_ASSUMPTION=1",)</f>
        <v>5.4806880516037859</v>
      </c>
      <c r="X33" s="15">
        <f t="shared" ca="1" si="18"/>
        <v>0.66239879367541943</v>
      </c>
      <c r="Y33" s="15">
        <f t="shared" ca="1" si="1"/>
        <v>0.2273153940255937</v>
      </c>
      <c r="Z33" s="15">
        <f t="shared" ca="1" si="2"/>
        <v>-7.0359526722205121E-2</v>
      </c>
      <c r="AA33" s="14">
        <f t="shared" ca="1" si="3"/>
        <v>25.955099249618289</v>
      </c>
      <c r="AB33" s="15" cm="1">
        <f t="array" ref="AB33">_xll.BDP(J33&amp;" Govt","YLD_YTM_MID")</f>
        <v>4.0412395999999999</v>
      </c>
      <c r="AC33" s="19">
        <v>0.75</v>
      </c>
      <c r="AD33" s="14">
        <f t="shared" ca="1" si="4"/>
        <v>0.59841499999999659</v>
      </c>
      <c r="AE33" s="22">
        <f t="shared" ca="1" si="5"/>
        <v>246.70045547327783</v>
      </c>
      <c r="AF33" s="22" cm="1">
        <f t="array" ref="AF33">(AB33-_xll.BDP(A33&amp;" Govt","YLD_YTM_MID"))*100</f>
        <v>249.504627861324</v>
      </c>
      <c r="AG33" s="22">
        <f t="shared" ca="1" si="6"/>
        <v>2.8041723880461689</v>
      </c>
      <c r="AI33" s="12">
        <v>2</v>
      </c>
      <c r="AJ33" s="12">
        <v>2</v>
      </c>
      <c r="AL33" s="13">
        <v>0</v>
      </c>
      <c r="AM33" s="13">
        <v>0</v>
      </c>
      <c r="AO33" s="14">
        <f t="shared" ca="1" si="19"/>
        <v>1.4059594210520963</v>
      </c>
      <c r="AP33" s="14">
        <f t="shared" ca="1" si="19"/>
        <v>1.4059594210520963</v>
      </c>
      <c r="AR33" s="5">
        <f t="shared" ca="1" si="7"/>
        <v>1.5882946394777429</v>
      </c>
      <c r="AS33" s="5">
        <f t="shared" ca="1" si="8"/>
        <v>1.5601754510567007</v>
      </c>
      <c r="AT33" cm="1">
        <f t="array" aca="1" ref="AT33" ca="1">_xll.BDP($A33&amp;" Govt","YAS_BOND_PX","YAS_BOND_YLD",AR33,"SETTLE_DT",$A$4)</f>
        <v>93.250215378518135</v>
      </c>
      <c r="AU33" cm="1">
        <f t="array" aca="1" ref="AU33" ca="1">_xll.BDP($A33&amp;" Govt","YAS_BOND_PX","YAS_BOND_YLD",AS33,"SETTLE_DT",$A$4)</f>
        <v>93.375071866009719</v>
      </c>
      <c r="AV33" s="15" t="str">
        <f t="shared" ca="1" si="9"/>
        <v>93-080</v>
      </c>
      <c r="AW33" s="15" t="str">
        <f t="shared" ca="1" si="10"/>
        <v>93-120</v>
      </c>
      <c r="AY33" cm="1">
        <f t="array" ref="AY33">_xll.BDP($A33&amp;" Govt","CBBT_PX_BID")</f>
        <v>93.3828125</v>
      </c>
      <c r="AZ33" cm="1">
        <f t="array" ref="AZ33">_xll.BDP($A33&amp;" Govt","CBBT_PX_ASK")</f>
        <v>93.484375</v>
      </c>
      <c r="BA33">
        <f t="shared" si="20"/>
        <v>93.43359375</v>
      </c>
      <c r="BB33" cm="1">
        <f t="array" aca="1" ref="BB33" ca="1">_xll.BDP(A33&amp;" Govt","YAS_BOND_YLD","YAS_BOND_PX",BA33,"SETTLE_DT",$A$4)</f>
        <v>1.54701</v>
      </c>
      <c r="BC33" s="15" t="str">
        <f t="shared" si="21"/>
        <v>93-122</v>
      </c>
      <c r="BD33" s="15" t="str">
        <f t="shared" si="22"/>
        <v>93-154</v>
      </c>
      <c r="BF33" s="4">
        <f t="shared" ca="1" si="23"/>
        <v>93.250215378518135</v>
      </c>
      <c r="BG33" s="4">
        <f t="shared" ca="1" si="24"/>
        <v>93.484375</v>
      </c>
      <c r="BH33" s="26">
        <f t="shared" si="25"/>
        <v>0.125</v>
      </c>
      <c r="BI33" s="17">
        <f t="shared" si="26"/>
        <v>47498</v>
      </c>
      <c r="BJ33" s="34" t="str">
        <f t="shared" ca="1" si="27"/>
        <v>93-080</v>
      </c>
      <c r="BK33" s="35" t="str">
        <f t="shared" ca="1" si="28"/>
        <v>93-154</v>
      </c>
      <c r="BL33" s="18">
        <v>100</v>
      </c>
      <c r="BM33" s="19"/>
      <c r="BN33" s="11" t="s">
        <v>154</v>
      </c>
      <c r="BO33" s="14">
        <f t="shared" ref="BO33:BO43" ca="1" si="42">IF(ISBLANK(BN33),"",OFFSET($W$1,MATCH(BN33,$BM:$BM,0)-1,))</f>
        <v>4.450525964358035</v>
      </c>
      <c r="BP33" s="14">
        <f t="shared" ref="BP33:BP43" ca="1" si="43">IF(ISBLANK(BN33),"",OFFSET($AA$1,MATCH(BN33,$BM:$BM,0)-1,))</f>
        <v>22.902329890229034</v>
      </c>
      <c r="BQ33" s="11" t="s">
        <v>155</v>
      </c>
      <c r="BR33" s="14">
        <f t="shared" ref="BR33:BR43" ca="1" si="44">IF(ISBLANK(BQ33),"",OFFSET($W$1,MATCH(BQ33,$BM:$BM,0)-1,))</f>
        <v>9.0329480166916234</v>
      </c>
      <c r="BS33" s="14">
        <f t="shared" ref="BS33:BS43" ca="1" si="45">IF(ISBLANK(BQ33),"",OFFSET($AA$1,MATCH(BQ33,$BM:$BM,0)-1,))</f>
        <v>23.060412385380769</v>
      </c>
      <c r="BT33" s="14">
        <f t="shared" ref="BT33:BT43" ca="1" si="46">IF(ISBLANK(BN33),"",50-((BU33*AA33-50*BP33-(BU33*W33-50*BO33)/BR33*BS33)/100/((BU33*AA33-(50+1)*BP33-(BU33*W33-(50+1)*BO33)/BR33*BS33)/100-(BU33*AA33-50*BP33-(BU33*W33-50*BO33)/BR33*BS33)/100)))</f>
        <v>103.6640216316149</v>
      </c>
      <c r="BU33" s="21">
        <f t="shared" ref="BU33:BU43" si="47">+BL33</f>
        <v>100</v>
      </c>
      <c r="BV33" s="14">
        <f t="shared" ref="BV33:BV43" ca="1" si="48">IF(ISBLANK(BN33),"",(BU33*W33-BT33*BO33)/BR33)</f>
        <v>9.5992343982138149</v>
      </c>
      <c r="BW33" s="16">
        <f t="shared" ref="BW33:BW43" ca="1" si="49">MIN(MAX(IF(ISBLANK(BN33),"",(BT33*BO33)/(BU33*W33)),0),1)</f>
        <v>0.84179105889135553</v>
      </c>
      <c r="BX33" s="16">
        <f t="shared" ref="BX33:BX43" ca="1" si="50">IF(ISBLANK(BN33),"",1-BW33)</f>
        <v>0.15820894110864447</v>
      </c>
      <c r="BY33" s="11"/>
      <c r="BZ33" s="11" t="str">
        <f t="shared" si="31"/>
        <v>CT5</v>
      </c>
      <c r="CA33" s="11" t="str">
        <f t="shared" si="32"/>
        <v>CT10</v>
      </c>
      <c r="CB33" s="21">
        <f t="shared" ca="1" si="29"/>
        <v>78.082762782626489</v>
      </c>
      <c r="CC33" s="21">
        <f t="shared" ca="1" si="30"/>
        <v>7.9880963730547379</v>
      </c>
    </row>
    <row r="34" spans="1:81" x14ac:dyDescent="0.25">
      <c r="A34" s="19" t="s">
        <v>47</v>
      </c>
      <c r="B34" s="11" cm="1">
        <f t="array" ref="B34">_xll.BDP(A34&amp;" Govt","COUPON")</f>
        <v>0.125</v>
      </c>
      <c r="C34" s="17" cm="1">
        <f t="array" ref="C34">DATEVALUE(_xll.BDP(A34&amp;" Govt","MATURITY"))</f>
        <v>47679</v>
      </c>
      <c r="D34" s="15" cm="1">
        <f t="array" aca="1" ref="D34" ca="1">_xll.BDH(A34&amp;"@BVN4 CUSIP","PX_MID",$A$1,$A$1)</f>
        <v>92.94140625</v>
      </c>
      <c r="E34" s="15" t="str">
        <f t="shared" ca="1" si="13"/>
        <v>92-301</v>
      </c>
      <c r="F34" s="15" cm="1">
        <f t="array" aca="1" ref="F34" ca="1">_xll.BDP(A34&amp;" Govt","YAS_BOND_YLD","YAS_BOND_PX",D34,"SETTLE_DT",$A$2)</f>
        <v>1.5128779999999999</v>
      </c>
      <c r="G34" s="15" cm="1">
        <f t="array" aca="1" ref="G34" ca="1">_xll.BDP(A34&amp;" Govt","REPO_FORWARD_PRICE","REPO_TERM_DATE",$A$4,"PX_ASK="&amp;D34,"SETTLE_DT",$A$2,"REPO_REPORATE="&amp;$A$5)</f>
        <v>92.932716204622892</v>
      </c>
      <c r="H34" s="15" cm="1">
        <f t="array" aca="1" ref="H34" ca="1">_xll.BDP(A34&amp;" Govt","YAS_BOND_YLD","YAS_BOND_PX",G34,"SETTLE_DT",$A$4)</f>
        <v>1.5153799999999999</v>
      </c>
      <c r="I34" s="11"/>
      <c r="J34" s="11" t="str">
        <f>+VLOOKUP(A34,mapping!$A:$B,2,FALSE)</f>
        <v>91282CAE1</v>
      </c>
      <c r="K34" s="11" cm="1">
        <f t="array" ref="K34">_xll.BDP(J34&amp;" Govt","COUPON")</f>
        <v>0.625</v>
      </c>
      <c r="L34" s="17" cm="1">
        <f t="array" ref="L34">DATEVALUE(_xll.BDP(J34&amp;" Govt","MATURITY"))</f>
        <v>47710</v>
      </c>
      <c r="M34" s="15" cm="1">
        <f t="array" aca="1" ref="M34" ca="1">_xll.BDH(J34&amp;"@BVN4 CUSIP","PX_MID",$A$1,$A$1)</f>
        <v>83.53515625</v>
      </c>
      <c r="N34" s="15" t="str">
        <f t="shared" ca="1" si="14"/>
        <v>83-171</v>
      </c>
      <c r="O34" s="15" cm="1">
        <f t="array" aca="1" ref="O34" ca="1">_xll.BDP(J34&amp;" Govt","YAS_BOND_YLD","YAS_BOND_PX",M34,"SETTLE_DT",$A$2)</f>
        <v>4.0515470000000002</v>
      </c>
      <c r="P34" s="15" cm="1">
        <f t="array" aca="1" ref="P34" ca="1">_xll.BDP(J34&amp;" Govt","REPO_FORWARD_PRICE","REPO_TERM_DATE",$A$4,"PX_ASK="&amp;M34,"SETTLE_DT",$A$2,"REPO_REPORATE="&amp;$A$5)</f>
        <v>83.543496448091105</v>
      </c>
      <c r="Q34" s="15" cm="1">
        <f t="array" aca="1" ref="Q34" ca="1">_xll.BDP(J34&amp;" Govt","YAS_BOND_YLD","YAS_BOND_PX",P34,"SETTLE_DT",$A$4)</f>
        <v>4.0513620000000001</v>
      </c>
      <c r="R34" s="11"/>
      <c r="S34" s="22">
        <f t="shared" ca="1" si="15"/>
        <v>253.86690000000004</v>
      </c>
      <c r="T34" s="22">
        <f t="shared" ca="1" si="16"/>
        <v>253.59820000000002</v>
      </c>
      <c r="U34" s="15" cm="1">
        <f t="array" ref="U34">_xll.BDP($A34&amp;" Govt","BASE_CPI")</f>
        <v>256.39125999999999</v>
      </c>
      <c r="V34" s="15">
        <f t="shared" ca="1" si="17"/>
        <v>1.23719</v>
      </c>
      <c r="W34" s="14" cm="1">
        <f t="array" ref="W34">_xll.BDP($A34&amp;" Govt","YAS_RISK","YIELD_BETA_ASSUMPTION=1",)</f>
        <v>6.0404873816454669</v>
      </c>
      <c r="X34" s="15">
        <f t="shared" ca="1" si="18"/>
        <v>0.60011439065087835</v>
      </c>
      <c r="Y34" s="15">
        <f t="shared" ca="1" si="1"/>
        <v>0.20594125543966194</v>
      </c>
      <c r="Z34" s="15">
        <f t="shared" ca="1" si="2"/>
        <v>-6.3743721921797891E-2</v>
      </c>
      <c r="AA34" s="14">
        <f t="shared" ca="1" si="3"/>
        <v>25.916365725906328</v>
      </c>
      <c r="AB34" s="15" cm="1">
        <f t="array" ref="AB34">_xll.BDP(J34&amp;" Govt","YLD_YTM_MID")</f>
        <v>4.0758390999999996</v>
      </c>
      <c r="AC34" s="19">
        <v>0.75</v>
      </c>
      <c r="AD34" s="14">
        <f t="shared" ca="1" si="4"/>
        <v>0.61192749999998686</v>
      </c>
      <c r="AE34" s="22">
        <f t="shared" ca="1" si="5"/>
        <v>254.14638377807819</v>
      </c>
      <c r="AF34" s="22" cm="1">
        <f t="array" ref="AF34">(AB34-_xll.BDP(A34&amp;" Govt","YLD_YTM_MID"))*100</f>
        <v>256.85582991606151</v>
      </c>
      <c r="AG34" s="22">
        <f t="shared" ca="1" si="6"/>
        <v>2.7094461379833206</v>
      </c>
      <c r="AI34" s="12">
        <v>2</v>
      </c>
      <c r="AJ34" s="12">
        <v>2</v>
      </c>
      <c r="AL34" s="13">
        <v>0</v>
      </c>
      <c r="AM34" s="13">
        <v>0</v>
      </c>
      <c r="AO34" s="14">
        <f t="shared" ca="1" si="19"/>
        <v>1.2801015897319257</v>
      </c>
      <c r="AP34" s="14">
        <f t="shared" ca="1" si="19"/>
        <v>1.2801015897319257</v>
      </c>
      <c r="AR34" s="5">
        <f t="shared" ca="1" si="7"/>
        <v>1.547176278116537</v>
      </c>
      <c r="AS34" s="5">
        <f t="shared" ca="1" si="8"/>
        <v>1.5215742463218984</v>
      </c>
      <c r="AT34" cm="1">
        <f t="array" aca="1" ref="AT34" ca="1">_xll.BDP($A34&amp;" Govt","YAS_BOND_PX","YAS_BOND_YLD",AR34,"SETTLE_DT",$A$4)</f>
        <v>92.777636817744352</v>
      </c>
      <c r="AU34" cm="1">
        <f t="array" aca="1" ref="AU34" ca="1">_xll.BDP($A34&amp;" Govt","YAS_BOND_PX","YAS_BOND_YLD",AS34,"SETTLE_DT",$A$4)</f>
        <v>92.902481917454566</v>
      </c>
      <c r="AV34" s="15" t="str">
        <f t="shared" ca="1" si="9"/>
        <v>92-247</v>
      </c>
      <c r="AW34" s="15" t="str">
        <f t="shared" ca="1" si="10"/>
        <v>92-287</v>
      </c>
      <c r="AY34" cm="1">
        <f t="array" ref="AY34">_xll.BDP($A34&amp;" Govt","CBBT_PX_BID")</f>
        <v>92.921875</v>
      </c>
      <c r="AZ34" cm="1">
        <f t="array" ref="AZ34">_xll.BDP($A34&amp;" Govt","CBBT_PX_ASK")</f>
        <v>93.015625</v>
      </c>
      <c r="BA34">
        <f t="shared" si="20"/>
        <v>92.96875</v>
      </c>
      <c r="BB34" cm="1">
        <f t="array" aca="1" ref="BB34" ca="1">_xll.BDP(A34&amp;" Govt","YAS_BOND_YLD","YAS_BOND_PX",BA34,"SETTLE_DT",$A$4)</f>
        <v>1.508</v>
      </c>
      <c r="BC34" s="15" t="str">
        <f t="shared" si="21"/>
        <v>92-294</v>
      </c>
      <c r="BD34" s="15" t="str">
        <f t="shared" si="22"/>
        <v>93-004</v>
      </c>
      <c r="BF34" s="4">
        <f t="shared" ca="1" si="23"/>
        <v>92.777636817744352</v>
      </c>
      <c r="BG34" s="4">
        <f t="shared" ca="1" si="24"/>
        <v>93.015625</v>
      </c>
      <c r="BH34" s="26">
        <f t="shared" si="25"/>
        <v>0.125</v>
      </c>
      <c r="BI34" s="17">
        <f t="shared" si="26"/>
        <v>47679</v>
      </c>
      <c r="BJ34" s="34" t="str">
        <f t="shared" ca="1" si="27"/>
        <v>92-247</v>
      </c>
      <c r="BK34" s="35" t="str">
        <f t="shared" ca="1" si="28"/>
        <v>93-004</v>
      </c>
      <c r="BL34" s="18">
        <v>100</v>
      </c>
      <c r="BM34" s="19"/>
      <c r="BN34" s="11" t="s">
        <v>154</v>
      </c>
      <c r="BO34" s="14">
        <f t="shared" ca="1" si="42"/>
        <v>4.450525964358035</v>
      </c>
      <c r="BP34" s="14">
        <f t="shared" ca="1" si="43"/>
        <v>22.902329890229034</v>
      </c>
      <c r="BQ34" s="11" t="s">
        <v>155</v>
      </c>
      <c r="BR34" s="14">
        <f t="shared" ca="1" si="44"/>
        <v>9.0329480166916234</v>
      </c>
      <c r="BS34" s="14">
        <f t="shared" ca="1" si="45"/>
        <v>23.060412385380769</v>
      </c>
      <c r="BT34" s="14">
        <f t="shared" ca="1" si="46"/>
        <v>90.944818509434072</v>
      </c>
      <c r="BU34" s="21">
        <f t="shared" si="47"/>
        <v>100</v>
      </c>
      <c r="BV34" s="14">
        <f t="shared" ca="1" si="48"/>
        <v>22.063280082671696</v>
      </c>
      <c r="BW34" s="16">
        <f t="shared" ca="1" si="49"/>
        <v>0.67006559326643034</v>
      </c>
      <c r="BX34" s="16">
        <f t="shared" ca="1" si="50"/>
        <v>0.32993440673356966</v>
      </c>
      <c r="BY34" s="11"/>
      <c r="BZ34" s="11" t="str">
        <f t="shared" si="31"/>
        <v>CT5</v>
      </c>
      <c r="CA34" s="11" t="str">
        <f t="shared" si="32"/>
        <v>CT10</v>
      </c>
      <c r="CB34" s="21">
        <f t="shared" ca="1" si="29"/>
        <v>68.502288240527491</v>
      </c>
      <c r="CC34" s="21">
        <f t="shared" ca="1" si="30"/>
        <v>18.360173352874401</v>
      </c>
    </row>
    <row r="35" spans="1:81" x14ac:dyDescent="0.25">
      <c r="A35" s="19" t="s">
        <v>43</v>
      </c>
      <c r="B35" s="11" cm="1">
        <f t="array" ref="B35">_xll.BDP(A35&amp;" Govt","COUPON")</f>
        <v>0.125</v>
      </c>
      <c r="C35" s="17" cm="1">
        <f t="array" ref="C35">DATEVALUE(_xll.BDP(A35&amp;" Govt","MATURITY"))</f>
        <v>47863</v>
      </c>
      <c r="D35" s="15" cm="1">
        <f t="array" aca="1" ref="D35" ca="1">_xll.BDH(A35&amp;"@BVN4 CUSIP","PX_MID",$A$1,$A$1)</f>
        <v>91.6171875</v>
      </c>
      <c r="E35" s="15" t="str">
        <f t="shared" ca="1" si="13"/>
        <v>91-196</v>
      </c>
      <c r="F35" s="15" cm="1">
        <f t="array" aca="1" ref="F35" ca="1">_xll.BDP(A35&amp;" Govt","YAS_BOND_YLD","YAS_BOND_PX",D35,"SETTLE_DT",$A$2)</f>
        <v>1.643159</v>
      </c>
      <c r="G35" s="15" cm="1">
        <f t="array" aca="1" ref="G35" ca="1">_xll.BDP(A35&amp;" Govt","REPO_FORWARD_PRICE","REPO_TERM_DATE",$A$4,"PX_ASK="&amp;D35,"SETTLE_DT",$A$2,"REPO_REPORATE="&amp;$A$5)</f>
        <v>91.608321526965639</v>
      </c>
      <c r="H35" s="15" cm="1">
        <f t="array" aca="1" ref="H35" ca="1">_xll.BDP(A35&amp;" Govt","YAS_BOND_YLD","YAS_BOND_PX",G35,"SETTLE_DT",$A$4)</f>
        <v>1.6455660000000001</v>
      </c>
      <c r="I35" s="11"/>
      <c r="J35" s="11" t="str">
        <f>+VLOOKUP(A35,mapping!$A:$B,2,FALSE)</f>
        <v>91282CBL4</v>
      </c>
      <c r="K35" s="11" cm="1">
        <f t="array" ref="K35">_xll.BDP(J35&amp;" Govt","COUPON")</f>
        <v>1.125</v>
      </c>
      <c r="L35" s="17" cm="1">
        <f t="array" ref="L35">DATEVALUE(_xll.BDP(J35&amp;" Govt","MATURITY"))</f>
        <v>47894</v>
      </c>
      <c r="M35" s="15" cm="1">
        <f t="array" aca="1" ref="M35" ca="1">_xll.BDH(J35&amp;"@BVN4 CUSIP","PX_MID",$A$1,$A$1)</f>
        <v>84.8125</v>
      </c>
      <c r="N35" s="15" t="str">
        <f t="shared" ca="1" si="14"/>
        <v>84-260</v>
      </c>
      <c r="O35" s="15" cm="1">
        <f t="array" aca="1" ref="O35" ca="1">_xll.BDP(J35&amp;" Govt","YAS_BOND_YLD","YAS_BOND_PX",M35,"SETTLE_DT",$A$2)</f>
        <v>4.0451569999999997</v>
      </c>
      <c r="P35" s="15" cm="1">
        <f t="array" aca="1" ref="P35" ca="1">_xll.BDP(J35&amp;" Govt","REPO_FORWARD_PRICE","REPO_TERM_DATE",$A$4,"PX_ASK="&amp;M35,"SETTLE_DT",$A$2,"REPO_REPORATE="&amp;$A$5)</f>
        <v>84.819618949988481</v>
      </c>
      <c r="Q35" s="15" cm="1">
        <f t="array" aca="1" ref="Q35" ca="1">_xll.BDP(J35&amp;" Govt","YAS_BOND_YLD","YAS_BOND_PX",P35,"SETTLE_DT",$A$4)</f>
        <v>4.0449809999999999</v>
      </c>
      <c r="R35" s="11"/>
      <c r="S35" s="22">
        <f t="shared" ca="1" si="15"/>
        <v>240.19979999999998</v>
      </c>
      <c r="T35" s="22">
        <f t="shared" ca="1" si="16"/>
        <v>239.94149999999999</v>
      </c>
      <c r="U35" s="15" cm="1">
        <f t="array" ref="U35">_xll.BDP($A35&amp;" Govt","BASE_CPI")</f>
        <v>260.31619000000001</v>
      </c>
      <c r="V35" s="15">
        <f t="shared" ca="1" si="17"/>
        <v>1.21854</v>
      </c>
      <c r="W35" s="14" cm="1">
        <f t="array" ref="W35">_xll.BDP($A35&amp;" Govt","YAS_RISK","YIELD_BETA_ASSUMPTION=1",)</f>
        <v>6.409916379483743</v>
      </c>
      <c r="X35" s="15">
        <f t="shared" ca="1" si="18"/>
        <v>0.54906455958137534</v>
      </c>
      <c r="Y35" s="15">
        <f t="shared" ca="1" si="1"/>
        <v>0.18842248491154057</v>
      </c>
      <c r="Z35" s="15">
        <f t="shared" ca="1" si="2"/>
        <v>-5.8321245329760518E-2</v>
      </c>
      <c r="AA35" s="14">
        <f t="shared" ca="1" si="3"/>
        <v>25.161924422864843</v>
      </c>
      <c r="AB35" s="15" cm="1">
        <f t="array" ref="AB35">_xll.BDP(J35&amp;" Govt","YLD_YTM_MID")</f>
        <v>4.0674142</v>
      </c>
      <c r="AC35" s="19">
        <v>0.75</v>
      </c>
      <c r="AD35" s="14">
        <f t="shared" ca="1" si="4"/>
        <v>0.56083000000000105</v>
      </c>
      <c r="AE35" s="22">
        <f t="shared" ca="1" si="5"/>
        <v>240.44400875467025</v>
      </c>
      <c r="AF35" s="22" cm="1">
        <f t="array" ref="AF35">(AB35-_xll.BDP(A35&amp;" Govt","YLD_YTM_MID"))*100</f>
        <v>242.7965875003128</v>
      </c>
      <c r="AG35" s="22">
        <f t="shared" ca="1" si="6"/>
        <v>2.3525787456425462</v>
      </c>
      <c r="AI35" s="12">
        <v>2.25</v>
      </c>
      <c r="AJ35" s="12">
        <v>2.25</v>
      </c>
      <c r="AL35" s="13">
        <v>0</v>
      </c>
      <c r="AM35" s="13">
        <v>0</v>
      </c>
      <c r="AO35" s="14">
        <f t="shared" ca="1" si="19"/>
        <v>1.3366569652021043</v>
      </c>
      <c r="AP35" s="14">
        <f t="shared" ca="1" si="19"/>
        <v>1.3366569652021043</v>
      </c>
      <c r="AR35" s="5">
        <f t="shared" ca="1" si="7"/>
        <v>1.6763406821053186</v>
      </c>
      <c r="AS35" s="5">
        <f t="shared" ca="1" si="8"/>
        <v>1.6496075428012764</v>
      </c>
      <c r="AT35" cm="1">
        <f t="array" aca="1" ref="AT35" ca="1">_xll.BDP($A35&amp;" Govt","YAS_BOND_PX","YAS_BOND_YLD",AR35,"SETTLE_DT",$A$4)</f>
        <v>91.446602684972603</v>
      </c>
      <c r="AU35" cm="1">
        <f t="array" aca="1" ref="AU35" ca="1">_xll.BDP($A35&amp;" Govt","YAS_BOND_PX","YAS_BOND_YLD",AS35,"SETTLE_DT",$A$4)</f>
        <v>91.587066627061745</v>
      </c>
      <c r="AV35" s="15" t="str">
        <f t="shared" ca="1" si="9"/>
        <v>91-142</v>
      </c>
      <c r="AW35" s="15" t="str">
        <f t="shared" ca="1" si="10"/>
        <v>91-186</v>
      </c>
      <c r="AY35" cm="1">
        <f t="array" ref="AY35">_xll.BDP($A35&amp;" Govt","CBBT_PX_BID")</f>
        <v>91.59375</v>
      </c>
      <c r="AZ35" cm="1">
        <f t="array" ref="AZ35">_xll.BDP($A35&amp;" Govt","CBBT_PX_ASK")</f>
        <v>91.6796875</v>
      </c>
      <c r="BA35">
        <f t="shared" si="20"/>
        <v>91.63671875</v>
      </c>
      <c r="BB35" cm="1">
        <f t="array" aca="1" ref="BB35" ca="1">_xll.BDP(A35&amp;" Govt","YAS_BOND_YLD","YAS_BOND_PX",BA35,"SETTLE_DT",$A$4)</f>
        <v>1.6401680000000001</v>
      </c>
      <c r="BC35" s="15" t="str">
        <f t="shared" si="21"/>
        <v>91-190</v>
      </c>
      <c r="BD35" s="15" t="str">
        <f t="shared" si="22"/>
        <v>91-216</v>
      </c>
      <c r="BF35" s="4">
        <f t="shared" ca="1" si="23"/>
        <v>91.446602684972603</v>
      </c>
      <c r="BG35" s="4">
        <f t="shared" ca="1" si="24"/>
        <v>91.6796875</v>
      </c>
      <c r="BH35" s="26">
        <f t="shared" si="25"/>
        <v>0.125</v>
      </c>
      <c r="BI35" s="17">
        <f t="shared" si="26"/>
        <v>47863</v>
      </c>
      <c r="BJ35" s="34" t="str">
        <f t="shared" ca="1" si="27"/>
        <v>91-142</v>
      </c>
      <c r="BK35" s="35" t="str">
        <f t="shared" ca="1" si="28"/>
        <v>91-216</v>
      </c>
      <c r="BL35" s="18">
        <v>100</v>
      </c>
      <c r="BM35" s="19"/>
      <c r="BN35" s="11" t="s">
        <v>154</v>
      </c>
      <c r="BO35" s="14">
        <f t="shared" ca="1" si="42"/>
        <v>4.450525964358035</v>
      </c>
      <c r="BP35" s="14">
        <f t="shared" ca="1" si="43"/>
        <v>22.902329890229034</v>
      </c>
      <c r="BQ35" s="11" t="s">
        <v>155</v>
      </c>
      <c r="BR35" s="14">
        <f t="shared" ca="1" si="44"/>
        <v>9.0329480166916234</v>
      </c>
      <c r="BS35" s="14">
        <f t="shared" ca="1" si="45"/>
        <v>23.060412385380769</v>
      </c>
      <c r="BT35" s="14">
        <f t="shared" ca="1" si="46"/>
        <v>76.235168905949948</v>
      </c>
      <c r="BU35" s="21">
        <f t="shared" si="47"/>
        <v>100</v>
      </c>
      <c r="BV35" s="14">
        <f t="shared" ca="1" si="48"/>
        <v>33.400506543125793</v>
      </c>
      <c r="BW35" s="16">
        <f t="shared" ca="1" si="49"/>
        <v>0.52931517125419481</v>
      </c>
      <c r="BX35" s="16">
        <f t="shared" ca="1" si="50"/>
        <v>0.47068482874580519</v>
      </c>
      <c r="BY35" s="11"/>
      <c r="BZ35" s="11" t="str">
        <f t="shared" si="31"/>
        <v>CT5</v>
      </c>
      <c r="CA35" s="11" t="str">
        <f t="shared" si="32"/>
        <v>CT10</v>
      </c>
      <c r="CB35" s="21">
        <f t="shared" ca="1" si="29"/>
        <v>57.422551389433501</v>
      </c>
      <c r="CC35" s="21">
        <f t="shared" ca="1" si="30"/>
        <v>27.794556743502429</v>
      </c>
    </row>
    <row r="36" spans="1:81" x14ac:dyDescent="0.25">
      <c r="A36" s="19" t="s">
        <v>37</v>
      </c>
      <c r="B36" s="11" cm="1">
        <f t="array" ref="B36">_xll.BDP(A36&amp;" Govt","COUPON")</f>
        <v>0.125</v>
      </c>
      <c r="C36" s="17" cm="1">
        <f t="array" ref="C36">DATEVALUE(_xll.BDP(A36&amp;" Govt","MATURITY"))</f>
        <v>48044</v>
      </c>
      <c r="D36" s="15" cm="1">
        <f t="array" aca="1" ref="D36" ca="1">_xll.BDH(A36&amp;"@BVN4 CUSIP","PX_MID",$A$1,$A$1)</f>
        <v>91.068359375</v>
      </c>
      <c r="E36" s="15" t="str">
        <f t="shared" ca="1" si="13"/>
        <v>91-022</v>
      </c>
      <c r="F36" s="15" cm="1">
        <f t="array" aca="1" ref="F36" ca="1">_xll.BDP(A36&amp;" Govt","YAS_BOND_YLD","YAS_BOND_PX",D36,"SETTLE_DT",$A$2)</f>
        <v>1.61924</v>
      </c>
      <c r="G36" s="15" cm="1">
        <f t="array" aca="1" ref="G36" ca="1">_xll.BDP(A36&amp;" Govt","REPO_FORWARD_PRICE","REPO_TERM_DATE",$A$4,"PX_ASK="&amp;D36,"SETTLE_DT",$A$2,"REPO_REPORATE="&amp;$A$5)</f>
        <v>91.059738847621276</v>
      </c>
      <c r="H36" s="15" cm="1">
        <f t="array" aca="1" ref="H36" ca="1">_xll.BDP(A36&amp;" Govt","YAS_BOND_YLD","YAS_BOND_PX",G36,"SETTLE_DT",$A$4)</f>
        <v>1.621413</v>
      </c>
      <c r="I36" s="11"/>
      <c r="J36" s="11" t="str">
        <f>+VLOOKUP(A36,mapping!$A:$B,2,FALSE)</f>
        <v>91282CCS8</v>
      </c>
      <c r="K36" s="11" cm="1">
        <f t="array" ref="K36">_xll.BDP(J36&amp;" Govt","COUPON")</f>
        <v>1.25</v>
      </c>
      <c r="L36" s="17" cm="1">
        <f t="array" ref="L36">DATEVALUE(_xll.BDP(J36&amp;" Govt","MATURITY"))</f>
        <v>48075</v>
      </c>
      <c r="M36" s="15" cm="1">
        <f t="array" aca="1" ref="M36" ca="1">_xll.BDH(J36&amp;"@BVN4 CUSIP","PX_MID",$A$1,$A$1)</f>
        <v>84.0546875</v>
      </c>
      <c r="N36" s="15" t="str">
        <f t="shared" ca="1" si="14"/>
        <v>84-016</v>
      </c>
      <c r="O36" s="15" cm="1">
        <f t="array" aca="1" ref="O36" ca="1">_xll.BDP(J36&amp;" Govt","YAS_BOND_YLD","YAS_BOND_PX",M36,"SETTLE_DT",$A$2)</f>
        <v>4.1094790000000003</v>
      </c>
      <c r="P36" s="15" cm="1">
        <f t="array" aca="1" ref="P36" ca="1">_xll.BDP(J36&amp;" Govt","REPO_FORWARD_PRICE","REPO_TERM_DATE",$A$4,"PX_ASK="&amp;M36,"SETTLE_DT",$A$2,"REPO_REPORATE="&amp;$A$5)</f>
        <v>84.061371431338472</v>
      </c>
      <c r="Q36" s="15" cm="1">
        <f t="array" aca="1" ref="Q36" ca="1">_xll.BDP(J36&amp;" Govt","YAS_BOND_YLD","YAS_BOND_PX",P36,"SETTLE_DT",$A$4)</f>
        <v>4.1093450000000002</v>
      </c>
      <c r="R36" s="11"/>
      <c r="S36" s="22">
        <f t="shared" ca="1" si="15"/>
        <v>249.02390000000003</v>
      </c>
      <c r="T36" s="22">
        <f t="shared" ca="1" si="16"/>
        <v>248.79320000000001</v>
      </c>
      <c r="U36" s="15" cm="1">
        <f t="array" ref="U36">_xll.BDP($A36&amp;" Govt","BASE_CPI")</f>
        <v>268.02089999999998</v>
      </c>
      <c r="V36" s="15">
        <f t="shared" ca="1" si="17"/>
        <v>1.1835100000000001</v>
      </c>
      <c r="W36" s="14" cm="1">
        <f t="array" ref="W36">_xll.BDP($A36&amp;" Govt","YAS_RISK","YIELD_BETA_ASSUMPTION=1",)</f>
        <v>6.719941114780295</v>
      </c>
      <c r="X36" s="15">
        <f t="shared" ca="1" si="18"/>
        <v>0.50563064090149512</v>
      </c>
      <c r="Y36" s="15">
        <f t="shared" ca="1" si="1"/>
        <v>0.17351726703816606</v>
      </c>
      <c r="Z36" s="15">
        <f t="shared" ca="1" si="2"/>
        <v>-5.3707725511811424E-2</v>
      </c>
      <c r="AA36" s="14">
        <f t="shared" ca="1" si="3"/>
        <v>24.292204518626747</v>
      </c>
      <c r="AB36" s="15" cm="1">
        <f t="array" ref="AB36">_xll.BDP(J36&amp;" Govt","YLD_YTM_MID")</f>
        <v>4.1334350000000004</v>
      </c>
      <c r="AC36" s="19">
        <v>0.75</v>
      </c>
      <c r="AD36" s="14">
        <f t="shared" ca="1" si="4"/>
        <v>0.60225000000000417</v>
      </c>
      <c r="AE36" s="22">
        <f t="shared" ca="1" si="5"/>
        <v>249.34174227448821</v>
      </c>
      <c r="AF36" s="22" cm="1">
        <f t="array" ref="AF36">(AB36-_xll.BDP(A36&amp;" Govt","YLD_YTM_MID"))*100</f>
        <v>251.86640308470888</v>
      </c>
      <c r="AG36" s="22">
        <f t="shared" ca="1" si="6"/>
        <v>2.5246608102206665</v>
      </c>
      <c r="AI36" s="12">
        <v>2.25</v>
      </c>
      <c r="AJ36" s="12">
        <v>2.25</v>
      </c>
      <c r="AL36" s="13">
        <v>0</v>
      </c>
      <c r="AM36" s="13">
        <v>0</v>
      </c>
      <c r="AO36" s="14">
        <f t="shared" ca="1" si="19"/>
        <v>1.2383374415583803</v>
      </c>
      <c r="AP36" s="14">
        <f t="shared" ca="1" si="19"/>
        <v>1.2383374415583803</v>
      </c>
      <c r="AR36" s="5">
        <f t="shared" ca="1" si="7"/>
        <v>1.6524009516707021</v>
      </c>
      <c r="AS36" s="5">
        <f t="shared" ca="1" si="8"/>
        <v>1.6276342028395343</v>
      </c>
      <c r="AT36" cm="1">
        <f t="array" aca="1" ref="AT36" ca="1">_xll.BDP($A36&amp;" Govt","YAS_BOND_PX","YAS_BOND_YLD",AR36,"SETTLE_DT",$A$4)</f>
        <v>90.883993745059797</v>
      </c>
      <c r="AU36" cm="1">
        <f t="array" aca="1" ref="AU36" ca="1">_xll.BDP($A36&amp;" Govt","YAS_BOND_PX","YAS_BOND_YLD",AS36,"SETTLE_DT",$A$4)</f>
        <v>91.024424210249506</v>
      </c>
      <c r="AV36" s="15" t="str">
        <f t="shared" ca="1" si="9"/>
        <v>90-282</v>
      </c>
      <c r="AW36" s="15" t="str">
        <f t="shared" ca="1" si="10"/>
        <v>91-006</v>
      </c>
      <c r="AY36" cm="1">
        <f t="array" ref="AY36">_xll.BDP($A36&amp;" Govt","CBBT_PX_BID")</f>
        <v>91.046875</v>
      </c>
      <c r="AZ36" cm="1">
        <f t="array" ref="AZ36">_xll.BDP($A36&amp;" Govt","CBBT_PX_ASK")</f>
        <v>91.140625</v>
      </c>
      <c r="BA36">
        <f t="shared" si="20"/>
        <v>91.09375</v>
      </c>
      <c r="BB36" cm="1">
        <f t="array" aca="1" ref="BB36" ca="1">_xll.BDP(A36&amp;" Govt","YAS_BOND_YLD","YAS_BOND_PX",BA36,"SETTLE_DT",$A$4)</f>
        <v>1.6154230000000001</v>
      </c>
      <c r="BC36" s="15" t="str">
        <f t="shared" si="21"/>
        <v>91-014</v>
      </c>
      <c r="BD36" s="15" t="str">
        <f t="shared" si="22"/>
        <v>91-044</v>
      </c>
      <c r="BF36" s="4">
        <f t="shared" ca="1" si="23"/>
        <v>90.883993745059797</v>
      </c>
      <c r="BG36" s="4">
        <f t="shared" ca="1" si="24"/>
        <v>91.140625</v>
      </c>
      <c r="BH36" s="26">
        <f t="shared" si="25"/>
        <v>0.125</v>
      </c>
      <c r="BI36" s="17">
        <f t="shared" si="26"/>
        <v>48044</v>
      </c>
      <c r="BJ36" s="34" t="str">
        <f t="shared" ca="1" si="27"/>
        <v>90-282</v>
      </c>
      <c r="BK36" s="35" t="str">
        <f t="shared" ca="1" si="28"/>
        <v>91-044</v>
      </c>
      <c r="BL36" s="18">
        <v>100</v>
      </c>
      <c r="BM36" s="19"/>
      <c r="BN36" s="11" t="s">
        <v>154</v>
      </c>
      <c r="BO36" s="14">
        <f t="shared" ca="1" si="42"/>
        <v>4.450525964358035</v>
      </c>
      <c r="BP36" s="14">
        <f t="shared" ca="1" si="43"/>
        <v>22.902329890229034</v>
      </c>
      <c r="BQ36" s="11" t="s">
        <v>155</v>
      </c>
      <c r="BR36" s="14">
        <f t="shared" ca="1" si="44"/>
        <v>9.0329480166916234</v>
      </c>
      <c r="BS36" s="14">
        <f t="shared" ca="1" si="45"/>
        <v>23.060412385380769</v>
      </c>
      <c r="BT36" s="14">
        <f t="shared" ca="1" si="46"/>
        <v>61.840721439623138</v>
      </c>
      <c r="BU36" s="21">
        <f t="shared" si="47"/>
        <v>100</v>
      </c>
      <c r="BV36" s="14">
        <f t="shared" ca="1" si="48"/>
        <v>43.924793359064836</v>
      </c>
      <c r="BW36" s="16">
        <f t="shared" ca="1" si="49"/>
        <v>0.40956272044754916</v>
      </c>
      <c r="BX36" s="16">
        <f t="shared" ca="1" si="50"/>
        <v>0.59043727955245084</v>
      </c>
      <c r="BY36" s="11"/>
      <c r="BZ36" s="11" t="str">
        <f t="shared" si="31"/>
        <v>CT5</v>
      </c>
      <c r="CA36" s="11" t="str">
        <f t="shared" si="32"/>
        <v>CT10</v>
      </c>
      <c r="CB36" s="21">
        <f t="shared" ca="1" si="29"/>
        <v>46.580233975834368</v>
      </c>
      <c r="CC36" s="21">
        <f t="shared" ca="1" si="30"/>
        <v>36.552444493283147</v>
      </c>
    </row>
    <row r="37" spans="1:81" x14ac:dyDescent="0.25">
      <c r="A37" s="19" t="s">
        <v>33</v>
      </c>
      <c r="B37" s="11" cm="1">
        <f t="array" ref="B37">_xll.BDP(A37&amp;" Govt","COUPON")</f>
        <v>0.125</v>
      </c>
      <c r="C37" s="17" cm="1">
        <f t="array" ref="C37">DATEVALUE(_xll.BDP(A37&amp;" Govt","MATURITY"))</f>
        <v>48228</v>
      </c>
      <c r="D37" s="15" cm="1">
        <f t="array" aca="1" ref="D37" ca="1">_xll.BDH(A37&amp;"@BVN4 CUSIP","PX_MID",$A$1,$A$1)</f>
        <v>89.669921875</v>
      </c>
      <c r="E37" s="15" t="str">
        <f t="shared" ca="1" si="13"/>
        <v>89-214</v>
      </c>
      <c r="F37" s="15" cm="1">
        <f t="array" aca="1" ref="F37" ca="1">_xll.BDP(A37&amp;" Govt","YAS_BOND_YLD","YAS_BOND_PX",D37,"SETTLE_DT",$A$2)</f>
        <v>1.7396120000000002</v>
      </c>
      <c r="G37" s="15" cm="1">
        <f t="array" aca="1" ref="G37" ca="1">_xll.BDP(A37&amp;" Govt","REPO_FORWARD_PRICE","REPO_TERM_DATE",$A$4,"PX_ASK="&amp;D37,"SETTLE_DT",$A$2,"REPO_REPORATE="&amp;$A$5)</f>
        <v>89.661563021872212</v>
      </c>
      <c r="H37" s="15" cm="1">
        <f t="array" aca="1" ref="H37" ca="1">_xll.BDP(A37&amp;" Govt","YAS_BOND_YLD","YAS_BOND_PX",G37,"SETTLE_DT",$A$4)</f>
        <v>1.741654</v>
      </c>
      <c r="I37" s="11"/>
      <c r="J37" s="11" t="str">
        <f>+VLOOKUP(A37,mapping!$A:$B,2,FALSE)</f>
        <v>91282CDY4</v>
      </c>
      <c r="K37" s="11" cm="1">
        <f t="array" ref="K37">_xll.BDP(J37&amp;" Govt","COUPON")</f>
        <v>1.875</v>
      </c>
      <c r="L37" s="17" cm="1">
        <f t="array" ref="L37">DATEVALUE(_xll.BDP(J37&amp;" Govt","MATURITY"))</f>
        <v>48259</v>
      </c>
      <c r="M37" s="15" cm="1">
        <f t="array" aca="1" ref="M37" ca="1">_xll.BDH(J37&amp;"@BVN4 CUSIP","PX_MID",$A$1,$A$1)</f>
        <v>86.515625</v>
      </c>
      <c r="N37" s="15" t="str">
        <f t="shared" ca="1" si="14"/>
        <v>86-164</v>
      </c>
      <c r="O37" s="15" cm="1">
        <f t="array" aca="1" ref="O37" ca="1">_xll.BDP(J37&amp;" Govt","YAS_BOND_YLD","YAS_BOND_PX",M37,"SETTLE_DT",$A$2)</f>
        <v>4.1422179999999997</v>
      </c>
      <c r="P37" s="15" cm="1">
        <f t="array" aca="1" ref="P37" ca="1">_xll.BDP(J37&amp;" Govt","REPO_FORWARD_PRICE","REPO_TERM_DATE",$A$4,"PX_ASK="&amp;M37,"SETTLE_DT",$A$2,"REPO_REPORATE="&amp;$A$5)</f>
        <v>86.520886442255119</v>
      </c>
      <c r="Q37" s="15" cm="1">
        <f t="array" aca="1" ref="Q37" ca="1">_xll.BDP(J37&amp;" Govt","YAS_BOND_YLD","YAS_BOND_PX",P37,"SETTLE_DT",$A$4)</f>
        <v>4.1421049999999999</v>
      </c>
      <c r="R37" s="11"/>
      <c r="S37" s="22">
        <f t="shared" ca="1" si="15"/>
        <v>240.26059999999995</v>
      </c>
      <c r="T37" s="22">
        <f t="shared" ca="1" si="16"/>
        <v>240.04509999999999</v>
      </c>
      <c r="U37" s="15" cm="1">
        <f t="array" ref="U37">_xll.BDP($A37&amp;" Govt","BASE_CPI")</f>
        <v>277.20274000000001</v>
      </c>
      <c r="V37" s="15">
        <f t="shared" ca="1" si="17"/>
        <v>1.1443000000000001</v>
      </c>
      <c r="W37" s="14" cm="1">
        <f t="array" ref="W37">_xll.BDP($A37&amp;" Govt","YAS_RISK","YIELD_BETA_ASSUMPTION=1",)</f>
        <v>6.8978563301271114</v>
      </c>
      <c r="X37" s="15">
        <f t="shared" ca="1" si="18"/>
        <v>0.46895927328150505</v>
      </c>
      <c r="Y37" s="15">
        <f t="shared" ca="1" si="1"/>
        <v>0.16093275381201408</v>
      </c>
      <c r="Z37" s="15">
        <f t="shared" ca="1" si="2"/>
        <v>-4.9812519037050237E-2</v>
      </c>
      <c r="AA37" s="14">
        <f t="shared" ca="1" si="3"/>
        <v>23.126896137645609</v>
      </c>
      <c r="AB37" s="15" cm="1">
        <f t="array" ref="AB37">_xll.BDP(J37&amp;" Govt","YLD_YTM_MID")</f>
        <v>4.1636187013484545</v>
      </c>
      <c r="AC37" s="19">
        <v>0.75</v>
      </c>
      <c r="AD37" s="14">
        <f t="shared" ca="1" si="4"/>
        <v>0.53784253371136348</v>
      </c>
      <c r="AE37" s="22">
        <f t="shared" ca="1" si="5"/>
        <v>240.5331300146743</v>
      </c>
      <c r="AF37" s="22" cm="1">
        <f t="array" ref="AF37">(AB37-_xll.BDP(A37&amp;" Govt","YLD_YTM_MID"))*100</f>
        <v>242.82162489460558</v>
      </c>
      <c r="AG37" s="22">
        <f t="shared" ca="1" si="6"/>
        <v>2.2884948799312781</v>
      </c>
      <c r="AI37" s="12">
        <v>2.25</v>
      </c>
      <c r="AJ37" s="12">
        <v>2.25</v>
      </c>
      <c r="AL37" s="13">
        <v>0</v>
      </c>
      <c r="AM37" s="13">
        <v>0</v>
      </c>
      <c r="AO37" s="14">
        <f t="shared" ca="1" si="19"/>
        <v>1.166428958495245</v>
      </c>
      <c r="AP37" s="14">
        <f t="shared" ca="1" si="19"/>
        <v>1.166428958495245</v>
      </c>
      <c r="AR37" s="5">
        <f t="shared" ca="1" si="7"/>
        <v>1.7699516907866639</v>
      </c>
      <c r="AS37" s="5">
        <f t="shared" ca="1" si="8"/>
        <v>1.7466231116167592</v>
      </c>
      <c r="AT37" cm="1">
        <f t="array" aca="1" ref="AT37" ca="1">_xll.BDP($A37&amp;" Govt","YAS_BOND_PX","YAS_BOND_YLD",AR37,"SETTLE_DT",$A$4)</f>
        <v>89.49118019040931</v>
      </c>
      <c r="AU37" cm="1">
        <f t="array" aca="1" ref="AU37" ca="1">_xll.BDP($A37&amp;" Govt","YAS_BOND_PX","YAS_BOND_YLD",AS37,"SETTLE_DT",$A$4)</f>
        <v>89.631617370006623</v>
      </c>
      <c r="AV37" s="15" t="str">
        <f t="shared" ca="1" si="9"/>
        <v>89-156</v>
      </c>
      <c r="AW37" s="15" t="str">
        <f t="shared" ca="1" si="10"/>
        <v>89-202</v>
      </c>
      <c r="AY37" cm="1">
        <f t="array" ref="AY37">_xll.BDP($A37&amp;" Govt","CBBT_PX_BID")</f>
        <v>89.6484375</v>
      </c>
      <c r="AZ37" cm="1">
        <f t="array" ref="AZ37">_xll.BDP($A37&amp;" Govt","CBBT_PX_ASK")</f>
        <v>89.7421875</v>
      </c>
      <c r="BA37">
        <f t="shared" si="20"/>
        <v>89.6953125</v>
      </c>
      <c r="BB37" cm="1">
        <f t="array" aca="1" ref="BB37" ca="1">_xll.BDP(A37&amp;" Govt","YAS_BOND_YLD","YAS_BOND_PX",BA37,"SETTLE_DT",$A$4)</f>
        <v>1.7360549999999999</v>
      </c>
      <c r="BC37" s="15" t="str">
        <f t="shared" si="21"/>
        <v>89-206</v>
      </c>
      <c r="BD37" s="15" t="str">
        <f t="shared" si="22"/>
        <v>89-236</v>
      </c>
      <c r="BF37" s="4">
        <f t="shared" ca="1" si="23"/>
        <v>89.49118019040931</v>
      </c>
      <c r="BG37" s="4">
        <f t="shared" ca="1" si="24"/>
        <v>89.7421875</v>
      </c>
      <c r="BH37" s="26">
        <f t="shared" si="25"/>
        <v>0.125</v>
      </c>
      <c r="BI37" s="17">
        <f t="shared" si="26"/>
        <v>48228</v>
      </c>
      <c r="BJ37" s="34" t="str">
        <f t="shared" ca="1" si="27"/>
        <v>89-156</v>
      </c>
      <c r="BK37" s="35" t="str">
        <f t="shared" ca="1" si="28"/>
        <v>89-236</v>
      </c>
      <c r="BL37" s="18">
        <v>100</v>
      </c>
      <c r="BM37" s="19"/>
      <c r="BN37" s="11" t="s">
        <v>154</v>
      </c>
      <c r="BO37" s="14">
        <f t="shared" ca="1" si="42"/>
        <v>4.450525964358035</v>
      </c>
      <c r="BP37" s="14">
        <f t="shared" ca="1" si="43"/>
        <v>22.902329890229034</v>
      </c>
      <c r="BQ37" s="11" t="s">
        <v>155</v>
      </c>
      <c r="BR37" s="14">
        <f t="shared" ca="1" si="44"/>
        <v>9.0329480166916234</v>
      </c>
      <c r="BS37" s="14">
        <f t="shared" ca="1" si="45"/>
        <v>23.060412385380769</v>
      </c>
      <c r="BT37" s="14">
        <f t="shared" ca="1" si="46"/>
        <v>47.807409894752624</v>
      </c>
      <c r="BU37" s="21">
        <f t="shared" si="47"/>
        <v>100</v>
      </c>
      <c r="BV37" s="14">
        <f t="shared" ca="1" si="48"/>
        <v>52.808619412615435</v>
      </c>
      <c r="BW37" s="16">
        <f t="shared" ca="1" si="49"/>
        <v>0.30845542273186627</v>
      </c>
      <c r="BX37" s="16">
        <f t="shared" ca="1" si="50"/>
        <v>0.69154457726813368</v>
      </c>
      <c r="BY37" s="11"/>
      <c r="BZ37" s="11" t="str">
        <f t="shared" si="31"/>
        <v>CT5</v>
      </c>
      <c r="CA37" s="11" t="str">
        <f t="shared" si="32"/>
        <v>CT10</v>
      </c>
      <c r="CB37" s="21">
        <f t="shared" ca="1" si="29"/>
        <v>36.009934664982254</v>
      </c>
      <c r="CC37" s="21">
        <f t="shared" ca="1" si="30"/>
        <v>43.945206846333051</v>
      </c>
    </row>
    <row r="38" spans="1:81" x14ac:dyDescent="0.25">
      <c r="A38" s="19" t="s">
        <v>98</v>
      </c>
      <c r="B38" s="11" cm="1">
        <f t="array" ref="B38">_xll.BDP(A38&amp;" Govt","COUPON")</f>
        <v>3.375</v>
      </c>
      <c r="C38" s="17" cm="1">
        <f t="array" ref="C38">DATEVALUE(_xll.BDP(A38&amp;" Govt","MATURITY"))</f>
        <v>48319</v>
      </c>
      <c r="D38" s="15" cm="1">
        <f t="array" aca="1" ref="D38" ca="1">_xll.BDH(A38&amp;"@BVN4 CUSIP","PX_MID",$A$1,$A$1)</f>
        <v>110.896484375</v>
      </c>
      <c r="E38" s="15" t="str">
        <f t="shared" ca="1" si="13"/>
        <v>110-286</v>
      </c>
      <c r="F38" s="15" cm="1">
        <f t="array" aca="1" ref="F38" ca="1">_xll.BDP(A38&amp;" Govt","YAS_BOND_YLD","YAS_BOND_PX",D38,"SETTLE_DT",$A$2)</f>
        <v>1.72881</v>
      </c>
      <c r="G38" s="15" cm="1">
        <f t="array" aca="1" ref="G38" ca="1">_xll.BDP(A38&amp;" Govt","REPO_FORWARD_PRICE","REPO_TERM_DATE",$A$4,"PX_ASK="&amp;D38,"SETTLE_DT",$A$2,"REPO_REPORATE="&amp;$A$5)</f>
        <v>110.87684562247101</v>
      </c>
      <c r="H38" s="15" cm="1">
        <f t="array" aca="1" ref="H38" ca="1">_xll.BDP(A38&amp;" Govt","YAS_BOND_YLD","YAS_BOND_PX",G38,"SETTLE_DT",$A$4)</f>
        <v>1.7310449999999999</v>
      </c>
      <c r="I38" s="11"/>
      <c r="J38" s="11" t="str">
        <f>+VLOOKUP(A38,mapping!$A:$B,2,FALSE)</f>
        <v>912810FP8</v>
      </c>
      <c r="K38" s="11" cm="1">
        <f t="array" ref="K38">_xll.BDP(J38&amp;" Govt","COUPON")</f>
        <v>5.375</v>
      </c>
      <c r="L38" s="17" cm="1">
        <f t="array" ref="L38">DATEVALUE(_xll.BDP(J38&amp;" Govt","MATURITY"))</f>
        <v>47894</v>
      </c>
      <c r="M38" s="15" cm="1">
        <f t="array" aca="1" ref="M38" ca="1">_xll.BDH(J38&amp;"@BVN4 CUSIP","PX_MID",$A$1,$A$1)</f>
        <v>106.78515625</v>
      </c>
      <c r="N38" s="15" t="str">
        <f t="shared" ca="1" si="14"/>
        <v>106-251</v>
      </c>
      <c r="O38" s="15" cm="1">
        <f t="array" aca="1" ref="O38" ca="1">_xll.BDP(J38&amp;" Govt","YAS_BOND_YLD","YAS_BOND_PX",M38,"SETTLE_DT",$A$2)</f>
        <v>4.0685469999999997</v>
      </c>
      <c r="P38" s="15" cm="1">
        <f t="array" aca="1" ref="P38" ca="1">_xll.BDP(J38&amp;" Govt","REPO_FORWARD_PRICE","REPO_TERM_DATE",$A$4,"PX_ASK="&amp;M38,"SETTLE_DT",$A$2,"REPO_REPORATE="&amp;$A$5)</f>
        <v>106.78323305058881</v>
      </c>
      <c r="Q38" s="15" cm="1">
        <f t="array" aca="1" ref="Q38" ca="1">_xll.BDP(J38&amp;" Govt","YAS_BOND_YLD","YAS_BOND_PX",P38,"SETTLE_DT",$A$4)</f>
        <v>4.068365</v>
      </c>
      <c r="R38" s="11"/>
      <c r="S38" s="22">
        <f t="shared" ca="1" si="15"/>
        <v>233.97369999999995</v>
      </c>
      <c r="T38" s="22">
        <f t="shared" ca="1" si="16"/>
        <v>233.732</v>
      </c>
      <c r="U38" s="15" cm="1">
        <f t="array" ref="U38">_xll.BDP($A38&amp;" Govt","BASE_CPI")</f>
        <v>177.5</v>
      </c>
      <c r="V38" s="15">
        <f t="shared" ca="1" si="17"/>
        <v>1.7870699999999999</v>
      </c>
      <c r="W38" s="14" cm="1">
        <f t="array" ref="W38">_xll.BDP($A38&amp;" Govt","YAS_RISK","YIELD_BETA_ASSUMPTION=1",)</f>
        <v>12.535740261009572</v>
      </c>
      <c r="X38" s="15">
        <f t="shared" ca="1" si="18"/>
        <v>0.49839013336897425</v>
      </c>
      <c r="Y38" s="15">
        <f t="shared" ca="1" si="1"/>
        <v>0.17103254206823088</v>
      </c>
      <c r="Z38" s="15">
        <f t="shared" ca="1" si="2"/>
        <v>-5.2938643973498185E-2</v>
      </c>
      <c r="AA38" s="14">
        <f t="shared" ca="1" si="3"/>
        <v>44.667073407240316</v>
      </c>
      <c r="AB38" s="15" cm="1">
        <f t="array" ref="AB38">_xll.BDP(J38&amp;" Govt","YLD_YTM_MID")</f>
        <v>4.0945935284277812</v>
      </c>
      <c r="AC38" s="19">
        <v>0.75</v>
      </c>
      <c r="AD38" s="14">
        <f t="shared" ca="1" si="4"/>
        <v>0.6557132106945307</v>
      </c>
      <c r="AE38" s="22">
        <f t="shared" ca="1" si="5"/>
        <v>234.33477456672102</v>
      </c>
      <c r="AF38" s="22" cm="1">
        <f t="array" ref="AF38">(AB38-_xll.BDP(A38&amp;" Govt","YLD_YTM_MID"))*100</f>
        <v>236.9399430784608</v>
      </c>
      <c r="AG38" s="22">
        <f t="shared" ca="1" si="6"/>
        <v>2.6051685117397767</v>
      </c>
      <c r="AI38" s="12">
        <v>4</v>
      </c>
      <c r="AJ38" s="12">
        <v>4</v>
      </c>
      <c r="AL38" s="13">
        <v>0</v>
      </c>
      <c r="AM38" s="13">
        <v>0</v>
      </c>
      <c r="AO38" s="14">
        <f t="shared" ca="1" si="19"/>
        <v>1.7819749400424294</v>
      </c>
      <c r="AP38" s="14">
        <f t="shared" ca="1" si="19"/>
        <v>1.7819749400424294</v>
      </c>
      <c r="AR38" s="5">
        <f t="shared" ca="1" si="7"/>
        <v>1.7690655321609952</v>
      </c>
      <c r="AS38" s="5">
        <f t="shared" ca="1" si="8"/>
        <v>1.7334260333601468</v>
      </c>
      <c r="AT38" cm="1">
        <f t="array" aca="1" ref="AT38" ca="1">_xll.BDP($A38&amp;" Govt","YAS_BOND_PX","YAS_BOND_YLD",AR38,"SETTLE_DT",$A$4)</f>
        <v>110.61042026264082</v>
      </c>
      <c r="AU38" cm="1">
        <f t="array" aca="1" ref="AU38" ca="1">_xll.BDP($A38&amp;" Govt","YAS_BOND_PX","YAS_BOND_YLD",AS38,"SETTLE_DT",$A$4)</f>
        <v>110.86013726717746</v>
      </c>
      <c r="AV38" s="15" t="str">
        <f t="shared" ca="1" si="9"/>
        <v>110-194</v>
      </c>
      <c r="AW38" s="15" t="str">
        <f t="shared" ca="1" si="10"/>
        <v>110-274</v>
      </c>
      <c r="AY38" cm="1">
        <f t="array" ref="AY38">_xll.BDP($A38&amp;" Govt","CBBT_PX_BID")</f>
        <v>110.8125</v>
      </c>
      <c r="AZ38" cm="1">
        <f t="array" ref="AZ38">_xll.BDP($A38&amp;" Govt","CBBT_PX_ASK")</f>
        <v>111.03125</v>
      </c>
      <c r="BA38">
        <f t="shared" si="20"/>
        <v>110.921875</v>
      </c>
      <c r="BB38" cm="1">
        <f t="array" aca="1" ref="BB38" ca="1">_xll.BDP(A38&amp;" Govt","YAS_BOND_YLD","YAS_BOND_PX",BA38,"SETTLE_DT",$A$4)</f>
        <v>1.724629</v>
      </c>
      <c r="BC38" s="15" t="str">
        <f t="shared" si="21"/>
        <v>110-260</v>
      </c>
      <c r="BD38" s="15" t="str">
        <f t="shared" si="22"/>
        <v>111-010</v>
      </c>
      <c r="BF38" s="4">
        <f t="shared" ca="1" si="23"/>
        <v>110.61042026264082</v>
      </c>
      <c r="BG38" s="4">
        <f t="shared" ca="1" si="24"/>
        <v>111.03125</v>
      </c>
      <c r="BH38" s="26">
        <f t="shared" si="25"/>
        <v>3.375</v>
      </c>
      <c r="BI38" s="17">
        <f t="shared" si="26"/>
        <v>48319</v>
      </c>
      <c r="BJ38" s="34" t="str">
        <f t="shared" ca="1" si="27"/>
        <v>110-194</v>
      </c>
      <c r="BK38" s="35" t="str">
        <f t="shared" ca="1" si="28"/>
        <v>111-010</v>
      </c>
      <c r="BL38" s="18">
        <v>100</v>
      </c>
      <c r="BM38" s="19"/>
      <c r="BN38" s="11" t="s">
        <v>154</v>
      </c>
      <c r="BO38" s="14">
        <f t="shared" ca="1" si="42"/>
        <v>4.450525964358035</v>
      </c>
      <c r="BP38" s="14">
        <f t="shared" ca="1" si="43"/>
        <v>22.902329890229034</v>
      </c>
      <c r="BQ38" s="11" t="s">
        <v>155</v>
      </c>
      <c r="BR38" s="14">
        <f t="shared" ca="1" si="44"/>
        <v>9.0329480166916234</v>
      </c>
      <c r="BS38" s="14">
        <f t="shared" ca="1" si="45"/>
        <v>23.060412385380769</v>
      </c>
      <c r="BT38" s="14">
        <f t="shared" ca="1" si="46"/>
        <v>109.7380792185395</v>
      </c>
      <c r="BU38" s="21">
        <f t="shared" si="47"/>
        <v>100</v>
      </c>
      <c r="BV38" s="14">
        <f t="shared" ca="1" si="48"/>
        <v>84.71009174924059</v>
      </c>
      <c r="BW38" s="16">
        <f t="shared" ca="1" si="49"/>
        <v>0.38959978483277546</v>
      </c>
      <c r="BX38" s="16">
        <f t="shared" ca="1" si="50"/>
        <v>0.61040021516722454</v>
      </c>
      <c r="BY38" s="11"/>
      <c r="BZ38" s="11" t="str">
        <f t="shared" si="31"/>
        <v>CT5</v>
      </c>
      <c r="CA38" s="11" t="str">
        <f t="shared" si="32"/>
        <v>CT10</v>
      </c>
      <c r="CB38" s="21">
        <f t="shared" ca="1" si="29"/>
        <v>82.657920009048439</v>
      </c>
      <c r="CC38" s="21">
        <f t="shared" ca="1" si="30"/>
        <v>70.492327678669369</v>
      </c>
    </row>
    <row r="39" spans="1:81" x14ac:dyDescent="0.25">
      <c r="A39" s="19" t="s">
        <v>27</v>
      </c>
      <c r="B39" s="11" cm="1">
        <f t="array" ref="B39">_xll.BDP(A39&amp;" Govt","COUPON")</f>
        <v>0.625</v>
      </c>
      <c r="C39" s="17" cm="1">
        <f t="array" ref="C39">DATEVALUE(_xll.BDP(A39&amp;" Govt","MATURITY"))</f>
        <v>48410</v>
      </c>
      <c r="D39" s="15" cm="1">
        <f t="array" aca="1" ref="D39" ca="1">_xll.BDH(A39&amp;"@BVN4 CUSIP","PX_MID",$A$1,$A$1)</f>
        <v>92.48046875</v>
      </c>
      <c r="E39" s="15" t="str">
        <f t="shared" ca="1" si="13"/>
        <v>92-153</v>
      </c>
      <c r="F39" s="15" cm="1">
        <f t="array" aca="1" ref="F39" ca="1">_xll.BDP(A39&amp;" Govt","YAS_BOND_YLD","YAS_BOND_PX",D39,"SETTLE_DT",$A$2)</f>
        <v>1.723911</v>
      </c>
      <c r="G39" s="15" cm="1">
        <f t="array" aca="1" ref="G39" ca="1">_xll.BDP(A39&amp;" Govt","REPO_FORWARD_PRICE","REPO_TERM_DATE",$A$4,"PX_ASK="&amp;D39,"SETTLE_DT",$A$2,"REPO_REPORATE="&amp;$A$5)</f>
        <v>92.471230619085034</v>
      </c>
      <c r="H39" s="15" cm="1">
        <f t="array" aca="1" ref="H39" ca="1">_xll.BDP(A39&amp;" Govt","YAS_BOND_YLD","YAS_BOND_PX",G39,"SETTLE_DT",$A$4)</f>
        <v>1.725727</v>
      </c>
      <c r="I39" s="11"/>
      <c r="J39" s="11" t="str">
        <f>+VLOOKUP(A39,mapping!$A:$B,2,FALSE)</f>
        <v>91282CFF3</v>
      </c>
      <c r="K39" s="11" cm="1">
        <f t="array" ref="K39">_xll.BDP(J39&amp;" Govt","COUPON")</f>
        <v>2.75</v>
      </c>
      <c r="L39" s="17" cm="1">
        <f t="array" ref="L39">DATEVALUE(_xll.BDP(J39&amp;" Govt","MATURITY"))</f>
        <v>48441</v>
      </c>
      <c r="M39" s="15" cm="1">
        <f t="array" aca="1" ref="M39" ca="1">_xll.BDH(J39&amp;"@BVN4 CUSIP","PX_MID",$A$1,$A$1)</f>
        <v>91.140625</v>
      </c>
      <c r="N39" s="15" t="str">
        <f t="shared" ca="1" si="14"/>
        <v>91-044</v>
      </c>
      <c r="O39" s="15" cm="1">
        <f t="array" aca="1" ref="O39" ca="1">_xll.BDP(J39&amp;" Govt","YAS_BOND_YLD","YAS_BOND_PX",M39,"SETTLE_DT",$A$2)</f>
        <v>4.1528660000000004</v>
      </c>
      <c r="P39" s="15" cm="1">
        <f t="array" aca="1" ref="P39" ca="1">_xll.BDP(J39&amp;" Govt","REPO_FORWARD_PRICE","REPO_TERM_DATE",$A$4,"PX_ASK="&amp;M39,"SETTLE_DT",$A$2,"REPO_REPORATE="&amp;$A$5)</f>
        <v>91.144037011574866</v>
      </c>
      <c r="Q39" s="15" cm="1">
        <f t="array" aca="1" ref="Q39" ca="1">_xll.BDP(J39&amp;" Govt","YAS_BOND_YLD","YAS_BOND_PX",P39,"SETTLE_DT",$A$4)</f>
        <v>4.1527609999999999</v>
      </c>
      <c r="R39" s="11"/>
      <c r="S39" s="22">
        <f t="shared" ca="1" si="15"/>
        <v>242.89550000000003</v>
      </c>
      <c r="T39" s="22">
        <f t="shared" ca="1" si="16"/>
        <v>242.70339999999999</v>
      </c>
      <c r="U39" s="15" cm="1">
        <f t="array" ref="U39">_xll.BDP($A39&amp;" Govt","BASE_CPI")</f>
        <v>290.54829000000001</v>
      </c>
      <c r="V39" s="15">
        <f t="shared" ca="1" si="17"/>
        <v>1.0917399999999999</v>
      </c>
      <c r="W39" s="14" cm="1">
        <f t="array" ref="W39">_xll.BDP($A39&amp;" Govt","YAS_RISK","YIELD_BETA_ASSUMPTION=1",)</f>
        <v>7.1547530644200892</v>
      </c>
      <c r="X39" s="15">
        <f t="shared" ca="1" si="18"/>
        <v>0.44487402505925594</v>
      </c>
      <c r="Y39" s="15">
        <f t="shared" ca="1" si="1"/>
        <v>0.15266741917958485</v>
      </c>
      <c r="Z39" s="15">
        <f t="shared" ca="1" si="2"/>
        <v>-4.7254201174631756E-2</v>
      </c>
      <c r="AA39" s="14">
        <f t="shared" ca="1" si="3"/>
        <v>22.756201775255022</v>
      </c>
      <c r="AB39" s="15" cm="1">
        <f t="array" ref="AB39">_xll.BDP(J39&amp;" Govt","YLD_YTM_MID")</f>
        <v>4.1737582182153927</v>
      </c>
      <c r="AC39" s="19">
        <v>0.75</v>
      </c>
      <c r="AD39" s="14">
        <f t="shared" ca="1" si="4"/>
        <v>0.52493045538481997</v>
      </c>
      <c r="AE39" s="22">
        <f t="shared" ca="1" si="5"/>
        <v>243.18107625421018</v>
      </c>
      <c r="AF39" s="22" cm="1">
        <f t="array" ref="AF39">(AB39-_xll.BDP(A39&amp;" Govt","YLD_YTM_MID"))*100</f>
        <v>245.22301567814836</v>
      </c>
      <c r="AG39" s="22">
        <f t="shared" ca="1" si="6"/>
        <v>2.0419394239381745</v>
      </c>
      <c r="AI39" s="12">
        <v>2.25</v>
      </c>
      <c r="AJ39" s="12">
        <v>2.25</v>
      </c>
      <c r="AL39" s="13">
        <v>0</v>
      </c>
      <c r="AM39" s="13">
        <v>0</v>
      </c>
      <c r="AO39" s="14">
        <f t="shared" ca="1" si="19"/>
        <v>1.0728947324783995</v>
      </c>
      <c r="AP39" s="14">
        <f t="shared" ca="1" si="19"/>
        <v>1.0728947324783995</v>
      </c>
      <c r="AR39" s="5">
        <f t="shared" ca="1" si="7"/>
        <v>1.7526764029980748</v>
      </c>
      <c r="AS39" s="5">
        <f t="shared" ca="1" si="8"/>
        <v>1.7312185083485068</v>
      </c>
      <c r="AT39" cm="1">
        <f t="array" aca="1" ref="AT39" ca="1">_xll.BDP($A39&amp;" Govt","YAS_BOND_PX","YAS_BOND_YLD",AR39,"SETTLE_DT",$A$4)</f>
        <v>92.294786612330483</v>
      </c>
      <c r="AU39" cm="1">
        <f t="array" aca="1" ref="AU39" ca="1">_xll.BDP($A39&amp;" Govt","YAS_BOND_PX","YAS_BOND_YLD",AS39,"SETTLE_DT",$A$4)</f>
        <v>92.43524530697772</v>
      </c>
      <c r="AV39" s="15" t="str">
        <f t="shared" ca="1" si="9"/>
        <v>92-093</v>
      </c>
      <c r="AW39" s="15" t="str">
        <f t="shared" ca="1" si="10"/>
        <v>92-137</v>
      </c>
      <c r="AY39" cm="1">
        <f t="array" ref="AY39">_xll.BDP($A39&amp;" Govt","CBBT_PX_BID")</f>
        <v>92.453125</v>
      </c>
      <c r="AZ39" cm="1">
        <f t="array" ref="AZ39">_xll.BDP($A39&amp;" Govt","CBBT_PX_ASK")</f>
        <v>92.5390625</v>
      </c>
      <c r="BA39">
        <f t="shared" si="20"/>
        <v>92.49609375</v>
      </c>
      <c r="BB39" cm="1">
        <f t="array" aca="1" ref="BB39" ca="1">_xll.BDP(A39&amp;" Govt","YAS_BOND_YLD","YAS_BOND_PX",BA39,"SETTLE_DT",$A$4)</f>
        <v>1.7219340000000001</v>
      </c>
      <c r="BC39" s="15" t="str">
        <f t="shared" si="21"/>
        <v>92-144</v>
      </c>
      <c r="BD39" s="15" t="str">
        <f t="shared" si="22"/>
        <v>92-172</v>
      </c>
      <c r="BF39" s="4">
        <f t="shared" ca="1" si="23"/>
        <v>92.294786612330483</v>
      </c>
      <c r="BG39" s="4">
        <f t="shared" ca="1" si="24"/>
        <v>92.5390625</v>
      </c>
      <c r="BH39" s="26">
        <f t="shared" si="25"/>
        <v>0.625</v>
      </c>
      <c r="BI39" s="17">
        <f t="shared" si="26"/>
        <v>48410</v>
      </c>
      <c r="BJ39" s="34" t="str">
        <f t="shared" ca="1" si="27"/>
        <v>92-093</v>
      </c>
      <c r="BK39" s="35" t="str">
        <f t="shared" ca="1" si="28"/>
        <v>92-172</v>
      </c>
      <c r="BL39" s="18">
        <v>100</v>
      </c>
      <c r="BM39" s="19"/>
      <c r="BN39" s="11" t="s">
        <v>154</v>
      </c>
      <c r="BO39" s="14">
        <f t="shared" ca="1" si="42"/>
        <v>4.450525964358035</v>
      </c>
      <c r="BP39" s="14">
        <f t="shared" ca="1" si="43"/>
        <v>22.902329890229034</v>
      </c>
      <c r="BQ39" s="11" t="s">
        <v>155</v>
      </c>
      <c r="BR39" s="14">
        <f t="shared" ca="1" si="44"/>
        <v>9.0329480166916234</v>
      </c>
      <c r="BS39" s="14">
        <f t="shared" ca="1" si="45"/>
        <v>23.060412385380769</v>
      </c>
      <c r="BT39" s="14">
        <f t="shared" ca="1" si="46"/>
        <v>38.912360833601234</v>
      </c>
      <c r="BU39" s="21">
        <f t="shared" si="47"/>
        <v>100</v>
      </c>
      <c r="BV39" s="14">
        <f t="shared" ca="1" si="48"/>
        <v>60.035199274424357</v>
      </c>
      <c r="BW39" s="16">
        <f t="shared" ca="1" si="49"/>
        <v>0.24204954477831123</v>
      </c>
      <c r="BX39" s="16">
        <f t="shared" ca="1" si="50"/>
        <v>0.7579504552216888</v>
      </c>
      <c r="BY39" s="11"/>
      <c r="BZ39" s="11" t="str">
        <f t="shared" si="31"/>
        <v>CT5</v>
      </c>
      <c r="CA39" s="11" t="str">
        <f t="shared" si="32"/>
        <v>CT10</v>
      </c>
      <c r="CB39" s="21">
        <f t="shared" ca="1" si="29"/>
        <v>29.309924431442479</v>
      </c>
      <c r="CC39" s="21">
        <f t="shared" ca="1" si="30"/>
        <v>49.958875644174661</v>
      </c>
    </row>
    <row r="40" spans="1:81" x14ac:dyDescent="0.25">
      <c r="A40" s="19" t="s">
        <v>23</v>
      </c>
      <c r="B40" s="11" cm="1">
        <f t="array" ref="B40">_xll.BDP(A40&amp;" Govt","COUPON")</f>
        <v>1.125</v>
      </c>
      <c r="C40" s="17" cm="1">
        <f t="array" ref="C40">DATEVALUE(_xll.BDP(A40&amp;" Govt","MATURITY"))</f>
        <v>48594</v>
      </c>
      <c r="D40" s="15" cm="1">
        <f t="array" aca="1" ref="D40" ca="1">_xll.BDH(A40&amp;"@BVN4 CUSIP","PX_MID",$A$1,$A$1)</f>
        <v>94.974609375</v>
      </c>
      <c r="E40" s="15" t="str">
        <f t="shared" ca="1" si="13"/>
        <v>94-312</v>
      </c>
      <c r="F40" s="15" cm="1">
        <f t="array" aca="1" ref="F40" ca="1">_xll.BDP(A40&amp;" Govt","YAS_BOND_YLD","YAS_BOND_PX",D40,"SETTLE_DT",$A$2)</f>
        <v>1.817869</v>
      </c>
      <c r="G40" s="15" cm="1">
        <f t="array" aca="1" ref="G40" ca="1">_xll.BDP(A40&amp;" Govt","REPO_FORWARD_PRICE","REPO_TERM_DATE",$A$4,"PX_ASK="&amp;D40,"SETTLE_DT",$A$2,"REPO_REPORATE="&amp;$A$5)</f>
        <v>94.96240242721926</v>
      </c>
      <c r="H40" s="15" cm="1">
        <f t="array" aca="1" ref="H40" ca="1">_xll.BDP(A40&amp;" Govt","YAS_BOND_YLD","YAS_BOND_PX",G40,"SETTLE_DT",$A$4)</f>
        <v>1.8198349999999999</v>
      </c>
      <c r="I40" s="11"/>
      <c r="J40" s="11" t="str">
        <f>+VLOOKUP(A40,mapping!$A:$B,2,FALSE)</f>
        <v>91282CGM7</v>
      </c>
      <c r="K40" s="11" cm="1">
        <f t="array" ref="K40">_xll.BDP(J40&amp;" Govt","COUPON")</f>
        <v>3.5</v>
      </c>
      <c r="L40" s="17" cm="1">
        <f t="array" ref="L40">DATEVALUE(_xll.BDP(J40&amp;" Govt","MATURITY"))</f>
        <v>48625</v>
      </c>
      <c r="M40" s="15" cm="1">
        <f t="array" aca="1" ref="M40" ca="1">_xll.BDH(J40&amp;"@BVN4 CUSIP","PX_MID",$A$1,$A$1)</f>
        <v>95.484375</v>
      </c>
      <c r="N40" s="15" t="str">
        <f t="shared" ca="1" si="14"/>
        <v>95-154</v>
      </c>
      <c r="O40" s="15" cm="1">
        <f t="array" aca="1" ref="O40" ca="1">_xll.BDP(J40&amp;" Govt","YAS_BOND_YLD","YAS_BOND_PX",M40,"SETTLE_DT",$A$2)</f>
        <v>4.1766909999999999</v>
      </c>
      <c r="P40" s="15" cm="1">
        <f t="array" aca="1" ref="P40" ca="1">_xll.BDP(J40&amp;" Govt","REPO_FORWARD_PRICE","REPO_TERM_DATE",$A$4,"PX_ASK="&amp;M40,"SETTLE_DT",$A$2,"REPO_REPORATE="&amp;$A$5)</f>
        <v>95.48624747910192</v>
      </c>
      <c r="Q40" s="15" cm="1">
        <f t="array" aca="1" ref="Q40" ca="1">_xll.BDP(J40&amp;" Govt","YAS_BOND_YLD","YAS_BOND_PX",P40,"SETTLE_DT",$A$4)</f>
        <v>4.1765999999999996</v>
      </c>
      <c r="R40" s="11"/>
      <c r="S40" s="22">
        <f t="shared" ca="1" si="15"/>
        <v>235.88220000000001</v>
      </c>
      <c r="T40" s="22">
        <f t="shared" ca="1" si="16"/>
        <v>235.67649999999998</v>
      </c>
      <c r="U40" s="15" cm="1">
        <f t="array" ref="U40">_xll.BDP($A40&amp;" Govt","BASE_CPI")</f>
        <v>297.87606</v>
      </c>
      <c r="V40" s="15">
        <f t="shared" ca="1" si="17"/>
        <v>1.0648899999999999</v>
      </c>
      <c r="W40" s="14" cm="1">
        <f t="array" ref="W40">_xll.BDP($A40&amp;" Govt","YAS_RISK","YIELD_BETA_ASSUMPTION=1",)</f>
        <v>7.5040570345205699</v>
      </c>
      <c r="X40" s="15">
        <f t="shared" ca="1" si="18"/>
        <v>0.42488929470279785</v>
      </c>
      <c r="Y40" s="15">
        <f t="shared" ref="Y40:Y71" ca="1" si="51">+X40*$AE$1*10</f>
        <v>0.14580925926315913</v>
      </c>
      <c r="Z40" s="15">
        <f t="shared" ref="Z40:Z71" ca="1" si="52">+($AE$4-$AE$3)/0.42*Y40</f>
        <v>-4.5131437390976248E-2</v>
      </c>
      <c r="AA40" s="14">
        <f t="shared" ref="AA40:AA60" ca="1" si="53">(Y40*10*W40*1000)/(420*(1/0.875))</f>
        <v>22.795020784832143</v>
      </c>
      <c r="AB40" s="15" cm="1">
        <f t="array" ref="AB40">_xll.BDP(J40&amp;" Govt","YLD_YTM_MID")</f>
        <v>4.1983668077555141</v>
      </c>
      <c r="AC40" s="19">
        <v>0.75</v>
      </c>
      <c r="AD40" s="14">
        <f t="shared" ref="AD40:AD71" ca="1" si="54">100*(AB40-Q40)*(1-AC40)</f>
        <v>0.5441701938878607</v>
      </c>
      <c r="AE40" s="22">
        <f t="shared" ref="AE40:AE71" ca="1" si="55">+T40+AD40+Z40</f>
        <v>236.17553875649685</v>
      </c>
      <c r="AF40" s="22" cm="1">
        <f t="array" ref="AF40">(AB40-_xll.BDP(A40&amp;" Govt","YLD_YTM_MID"))*100</f>
        <v>238.46529915885958</v>
      </c>
      <c r="AG40" s="22">
        <f t="shared" ca="1" si="6"/>
        <v>2.2897604023627309</v>
      </c>
      <c r="AI40" s="12">
        <v>2.5</v>
      </c>
      <c r="AJ40" s="12">
        <v>2.5</v>
      </c>
      <c r="AL40" s="13">
        <v>0</v>
      </c>
      <c r="AM40" s="13">
        <v>0</v>
      </c>
      <c r="AO40" s="14">
        <f t="shared" ca="1" si="19"/>
        <v>1.1086607000357807</v>
      </c>
      <c r="AP40" s="14">
        <f t="shared" ca="1" si="19"/>
        <v>1.1086607000357807</v>
      </c>
      <c r="AR40" s="5">
        <f t="shared" ca="1" si="7"/>
        <v>1.8476980271909034</v>
      </c>
      <c r="AS40" s="5">
        <f t="shared" ca="1" si="8"/>
        <v>1.8255248131901876</v>
      </c>
      <c r="AT40" cm="1">
        <f t="array" aca="1" ref="AT40" ca="1">_xll.BDP($A40&amp;" Govt","YAS_BOND_PX","YAS_BOND_YLD",AR40,"SETTLE_DT",$A$4)</f>
        <v>94.766281713151102</v>
      </c>
      <c r="AU40" cm="1">
        <f t="array" aca="1" ref="AU40" ca="1">_xll.BDP($A40&amp;" Govt","YAS_BOND_PX","YAS_BOND_YLD",AS40,"SETTLE_DT",$A$4)</f>
        <v>94.922317445497555</v>
      </c>
      <c r="AV40" s="15" t="str">
        <f t="shared" ca="1" si="9"/>
        <v>94-244</v>
      </c>
      <c r="AW40" s="15" t="str">
        <f t="shared" ca="1" si="10"/>
        <v>94-294</v>
      </c>
      <c r="AY40" cm="1">
        <f t="array" ref="AY40">_xll.BDP($A40&amp;" Govt","CBBT_PX_BID")</f>
        <v>94.9609375</v>
      </c>
      <c r="AZ40" cm="1">
        <f t="array" ref="AZ40">_xll.BDP($A40&amp;" Govt","CBBT_PX_ASK")</f>
        <v>95.046875</v>
      </c>
      <c r="BA40">
        <f t="shared" si="20"/>
        <v>95.00390625</v>
      </c>
      <c r="BB40" cm="1">
        <f t="array" aca="1" ref="BB40" ca="1">_xll.BDP(A40&amp;" Govt","YAS_BOND_YLD","YAS_BOND_PX",BA40,"SETTLE_DT",$A$4)</f>
        <v>1.813947</v>
      </c>
      <c r="BC40" s="15" t="str">
        <f t="shared" si="21"/>
        <v>94-306</v>
      </c>
      <c r="BD40" s="15" t="str">
        <f t="shared" si="22"/>
        <v>95-014</v>
      </c>
      <c r="BF40" s="4">
        <f t="shared" ca="1" si="23"/>
        <v>94.766281713151102</v>
      </c>
      <c r="BG40" s="4">
        <f t="shared" ca="1" si="24"/>
        <v>95.046875</v>
      </c>
      <c r="BH40" s="26">
        <f t="shared" si="25"/>
        <v>1.125</v>
      </c>
      <c r="BI40" s="17">
        <f t="shared" si="26"/>
        <v>48594</v>
      </c>
      <c r="BJ40" s="34" t="str">
        <f t="shared" ca="1" si="27"/>
        <v>94-244</v>
      </c>
      <c r="BK40" s="35" t="str">
        <f t="shared" ca="1" si="28"/>
        <v>95-014</v>
      </c>
      <c r="BL40" s="18">
        <v>100</v>
      </c>
      <c r="BM40" s="19"/>
      <c r="BN40" s="11" t="s">
        <v>154</v>
      </c>
      <c r="BO40" s="14">
        <f t="shared" ca="1" si="42"/>
        <v>4.450525964358035</v>
      </c>
      <c r="BP40" s="14">
        <f t="shared" ca="1" si="43"/>
        <v>22.902329890229034</v>
      </c>
      <c r="BQ40" s="11" t="s">
        <v>155</v>
      </c>
      <c r="BR40" s="14">
        <f t="shared" ca="1" si="44"/>
        <v>9.0329480166916234</v>
      </c>
      <c r="BS40" s="14">
        <f t="shared" ca="1" si="45"/>
        <v>23.060412385380769</v>
      </c>
      <c r="BT40" s="14">
        <f t="shared" ca="1" si="46"/>
        <v>31.521623906643438</v>
      </c>
      <c r="BU40" s="21">
        <f t="shared" si="47"/>
        <v>100</v>
      </c>
      <c r="BV40" s="14">
        <f t="shared" ca="1" si="48"/>
        <v>67.543607766744472</v>
      </c>
      <c r="BW40" s="16">
        <f t="shared" ca="1" si="49"/>
        <v>0.18694927955622673</v>
      </c>
      <c r="BX40" s="16">
        <f t="shared" ca="1" si="50"/>
        <v>0.81305072044377324</v>
      </c>
      <c r="BY40" s="11"/>
      <c r="BZ40" s="11" t="str">
        <f t="shared" si="31"/>
        <v>CT5</v>
      </c>
      <c r="CA40" s="11" t="str">
        <f t="shared" si="32"/>
        <v>CT10</v>
      </c>
      <c r="CB40" s="21">
        <f t="shared" ca="1" si="29"/>
        <v>23.743005946384919</v>
      </c>
      <c r="CC40" s="21">
        <f t="shared" ca="1" si="30"/>
        <v>56.207070881086054</v>
      </c>
    </row>
    <row r="41" spans="1:81" x14ac:dyDescent="0.25">
      <c r="A41" s="19" t="s">
        <v>17</v>
      </c>
      <c r="B41" s="11" cm="1">
        <f t="array" ref="B41">_xll.BDP(A41&amp;" Govt","COUPON")</f>
        <v>1.375</v>
      </c>
      <c r="C41" s="17" cm="1">
        <f t="array" ref="C41">DATEVALUE(_xll.BDP(A41&amp;" Govt","MATURITY"))</f>
        <v>48775</v>
      </c>
      <c r="D41" s="15" cm="1">
        <f t="array" aca="1" ref="D41" ca="1">_xll.BDH(A41&amp;"@BVN4 CUSIP","PX_MID",$A$1,$A$1)</f>
        <v>96.701171875</v>
      </c>
      <c r="E41" s="15" t="str">
        <f t="shared" ca="1" si="13"/>
        <v>96-224</v>
      </c>
      <c r="F41" s="15" cm="1">
        <f t="array" aca="1" ref="F41" ca="1">_xll.BDP(A41&amp;" Govt","YAS_BOND_YLD","YAS_BOND_PX",D41,"SETTLE_DT",$A$2)</f>
        <v>1.8040579999999999</v>
      </c>
      <c r="G41" s="15" cm="1">
        <f t="array" aca="1" ref="G41" ca="1">_xll.BDP(A41&amp;" Govt","REPO_FORWARD_PRICE","REPO_TERM_DATE",$A$4,"PX_ASK="&amp;D41,"SETTLE_DT",$A$2,"REPO_REPORATE="&amp;$A$5)</f>
        <v>96.688623145657999</v>
      </c>
      <c r="H41" s="15" cm="1">
        <f t="array" aca="1" ref="H41" ca="1">_xll.BDP(A41&amp;" Govt","YAS_BOND_YLD","YAS_BOND_PX",G41,"SETTLE_DT",$A$4)</f>
        <v>1.805855</v>
      </c>
      <c r="I41" s="11"/>
      <c r="J41" s="11" t="str">
        <f>+VLOOKUP(A41,mapping!$A:$B,2,FALSE)</f>
        <v>91282CHT1</v>
      </c>
      <c r="K41" s="11" cm="1">
        <f t="array" ref="K41">_xll.BDP(J41&amp;" Govt","COUPON")</f>
        <v>3.875</v>
      </c>
      <c r="L41" s="17" cm="1">
        <f t="array" ref="L41">DATEVALUE(_xll.BDP(J41&amp;" Govt","MATURITY"))</f>
        <v>48806</v>
      </c>
      <c r="M41" s="15" cm="1">
        <f t="array" aca="1" ref="M41" ca="1">_xll.BDH(J41&amp;"@BVN4 CUSIP","PX_MID",$A$1,$A$1)</f>
        <v>97.734375</v>
      </c>
      <c r="N41" s="15" t="str">
        <f t="shared" ca="1" si="14"/>
        <v>97-234</v>
      </c>
      <c r="O41" s="15" cm="1">
        <f t="array" aca="1" ref="O41" ca="1">_xll.BDP(J41&amp;" Govt","YAS_BOND_YLD","YAS_BOND_PX",M41,"SETTLE_DT",$A$2)</f>
        <v>4.1974520000000002</v>
      </c>
      <c r="P41" s="15" cm="1">
        <f t="array" aca="1" ref="P41" ca="1">_xll.BDP(J41&amp;" Govt","REPO_FORWARD_PRICE","REPO_TERM_DATE",$A$4,"PX_ASK="&amp;M41,"SETTLE_DT",$A$2,"REPO_REPORATE="&amp;$A$5)</f>
        <v>97.735487120417531</v>
      </c>
      <c r="Q41" s="15" cm="1">
        <f t="array" aca="1" ref="Q41" ca="1">_xll.BDP(J41&amp;" Govt","YAS_BOND_YLD","YAS_BOND_PX",P41,"SETTLE_DT",$A$4)</f>
        <v>4.1973719999999997</v>
      </c>
      <c r="R41" s="11"/>
      <c r="S41" s="22">
        <f t="shared" ca="1" si="15"/>
        <v>239.33940000000001</v>
      </c>
      <c r="T41" s="22">
        <f t="shared" ca="1" si="16"/>
        <v>239.15169999999995</v>
      </c>
      <c r="U41" s="15" cm="1">
        <f t="array" ref="U41">_xll.BDP($A41&amp;" Govt","BASE_CPI")</f>
        <v>303.70803000000001</v>
      </c>
      <c r="V41" s="15">
        <f t="shared" ca="1" si="17"/>
        <v>1.04444</v>
      </c>
      <c r="W41" s="14" cm="1">
        <f t="array" ref="W41">_xll.BDP($A41&amp;" Govt","YAS_RISK","YIELD_BETA_ASSUMPTION=1",)</f>
        <v>7.8773424262201086</v>
      </c>
      <c r="X41" s="15">
        <f t="shared" ca="1" si="18"/>
        <v>0.40419946821843244</v>
      </c>
      <c r="Y41" s="15">
        <f t="shared" ca="1" si="51"/>
        <v>0.13870913150851946</v>
      </c>
      <c r="Z41" s="15">
        <f t="shared" ca="1" si="52"/>
        <v>-4.2933778800254521E-2</v>
      </c>
      <c r="AA41" s="14">
        <f t="shared" ca="1" si="53"/>
        <v>22.763735969504271</v>
      </c>
      <c r="AB41" s="15" cm="1">
        <f t="array" ref="AB41">_xll.BDP(J41&amp;" Govt","YLD_YTM_MID")</f>
        <v>4.2189104349631856</v>
      </c>
      <c r="AC41" s="19">
        <v>0.75</v>
      </c>
      <c r="AD41" s="14">
        <f t="shared" ca="1" si="54"/>
        <v>0.53846087407964927</v>
      </c>
      <c r="AE41" s="22">
        <f t="shared" ca="1" si="55"/>
        <v>239.64722709527933</v>
      </c>
      <c r="AF41" s="22" cm="1">
        <f t="array" ref="AF41">(AB41-_xll.BDP(A41&amp;" Govt","YLD_YTM_MID"))*100</f>
        <v>241.76994280493025</v>
      </c>
      <c r="AG41" s="22">
        <f t="shared" ca="1" si="6"/>
        <v>2.1227157096509188</v>
      </c>
      <c r="AI41" s="12">
        <v>2.5</v>
      </c>
      <c r="AJ41" s="12">
        <v>2.5</v>
      </c>
      <c r="AL41" s="13">
        <v>0</v>
      </c>
      <c r="AM41" s="13">
        <v>0</v>
      </c>
      <c r="AO41" s="14">
        <f t="shared" ca="1" si="19"/>
        <v>1.0358426812626669</v>
      </c>
      <c r="AP41" s="14">
        <f t="shared" ca="1" si="19"/>
        <v>1.0358426812626669</v>
      </c>
      <c r="AR41" s="5">
        <f t="shared" ca="1" si="7"/>
        <v>1.832796590823019</v>
      </c>
      <c r="AS41" s="5">
        <f t="shared" ca="1" si="8"/>
        <v>1.8120797371977657</v>
      </c>
      <c r="AT41" cm="1">
        <f t="array" aca="1" ref="AT41" ca="1">_xll.BDP($A41&amp;" Govt","YAS_BOND_PX","YAS_BOND_YLD",AR41,"SETTLE_DT",$A$4)</f>
        <v>96.485634211805106</v>
      </c>
      <c r="AU41" cm="1">
        <f t="array" aca="1" ref="AU41" ca="1">_xll.BDP($A41&amp;" Govt","YAS_BOND_PX","YAS_BOND_YLD",AS41,"SETTLE_DT",$A$4)</f>
        <v>96.64168287325667</v>
      </c>
      <c r="AV41" s="15" t="str">
        <f t="shared" ca="1" si="9"/>
        <v>96-154</v>
      </c>
      <c r="AW41" s="15" t="str">
        <f t="shared" ca="1" si="10"/>
        <v>96-204</v>
      </c>
      <c r="AY41" cm="1">
        <f t="array" ref="AY41">_xll.BDP($A41&amp;" Govt","CBBT_PX_BID")</f>
        <v>96.6796875</v>
      </c>
      <c r="AZ41" cm="1">
        <f t="array" ref="AZ41">_xll.BDP($A41&amp;" Govt","CBBT_PX_ASK")</f>
        <v>96.765625</v>
      </c>
      <c r="BA41">
        <f t="shared" si="20"/>
        <v>96.72265625</v>
      </c>
      <c r="BB41" cm="1">
        <f t="array" aca="1" ref="BB41" ca="1">_xll.BDP(A41&amp;" Govt","YAS_BOND_YLD","YAS_BOND_PX",BA41,"SETTLE_DT",$A$4)</f>
        <v>1.8013439999999998</v>
      </c>
      <c r="BC41" s="15" t="str">
        <f t="shared" si="21"/>
        <v>96-216</v>
      </c>
      <c r="BD41" s="15" t="str">
        <f t="shared" si="22"/>
        <v>96-244</v>
      </c>
      <c r="BF41" s="4">
        <f t="shared" ca="1" si="23"/>
        <v>96.485634211805106</v>
      </c>
      <c r="BG41" s="4">
        <f t="shared" ca="1" si="24"/>
        <v>96.765625</v>
      </c>
      <c r="BH41" s="26">
        <f t="shared" si="25"/>
        <v>1.375</v>
      </c>
      <c r="BI41" s="17">
        <f t="shared" si="26"/>
        <v>48775</v>
      </c>
      <c r="BJ41" s="34" t="str">
        <f t="shared" ca="1" si="27"/>
        <v>96-154</v>
      </c>
      <c r="BK41" s="35" t="str">
        <f t="shared" ca="1" si="28"/>
        <v>96-244</v>
      </c>
      <c r="BL41" s="18">
        <v>100</v>
      </c>
      <c r="BM41" s="19"/>
      <c r="BN41" s="11" t="s">
        <v>154</v>
      </c>
      <c r="BO41" s="14">
        <f t="shared" ca="1" si="42"/>
        <v>4.450525964358035</v>
      </c>
      <c r="BP41" s="14">
        <f t="shared" ca="1" si="43"/>
        <v>22.902329890229034</v>
      </c>
      <c r="BQ41" s="11" t="s">
        <v>155</v>
      </c>
      <c r="BR41" s="14">
        <f t="shared" ca="1" si="44"/>
        <v>9.0329480166916234</v>
      </c>
      <c r="BS41" s="14">
        <f t="shared" ca="1" si="45"/>
        <v>23.060412385380769</v>
      </c>
      <c r="BT41" s="14">
        <f t="shared" ca="1" si="46"/>
        <v>22.992923212813217</v>
      </c>
      <c r="BU41" s="21">
        <f t="shared" si="47"/>
        <v>100</v>
      </c>
      <c r="BV41" s="14">
        <f t="shared" ca="1" si="48"/>
        <v>75.878178375472217</v>
      </c>
      <c r="BW41" s="16">
        <f t="shared" ca="1" si="49"/>
        <v>0.12990498091653796</v>
      </c>
      <c r="BX41" s="16">
        <f t="shared" ca="1" si="50"/>
        <v>0.87009501908346198</v>
      </c>
      <c r="BY41" s="11"/>
      <c r="BZ41" s="11" t="str">
        <f t="shared" si="31"/>
        <v>CT5</v>
      </c>
      <c r="CA41" s="11" t="str">
        <f t="shared" si="32"/>
        <v>CT10</v>
      </c>
      <c r="CB41" s="21">
        <f t="shared" ca="1" si="29"/>
        <v>17.318939981754518</v>
      </c>
      <c r="CC41" s="21">
        <f t="shared" ca="1" si="30"/>
        <v>63.142764967578536</v>
      </c>
    </row>
    <row r="42" spans="1:81" x14ac:dyDescent="0.25">
      <c r="A42" s="19" t="s">
        <v>13</v>
      </c>
      <c r="B42" s="11" cm="1">
        <f t="array" ref="B42">_xll.BDP(A42&amp;" Govt","COUPON")</f>
        <v>1.75</v>
      </c>
      <c r="C42" s="17" cm="1">
        <f t="array" ref="C42">DATEVALUE(_xll.BDP(A42&amp;" Govt","MATURITY"))</f>
        <v>48959</v>
      </c>
      <c r="D42" s="15" cm="1">
        <f t="array" aca="1" ref="D42" ca="1">_xll.BDH(A42&amp;"@BVN4 CUSIP","PX_MID",$A$1,$A$1)</f>
        <v>98.98046875</v>
      </c>
      <c r="E42" s="15" t="str">
        <f t="shared" ca="1" si="13"/>
        <v>98-313</v>
      </c>
      <c r="F42" s="15" cm="1">
        <f t="array" aca="1" ref="F42" ca="1">_xll.BDP(A42&amp;" Govt","YAS_BOND_YLD","YAS_BOND_PX",D42,"SETTLE_DT",$A$2)</f>
        <v>1.8759440000000001</v>
      </c>
      <c r="G42" s="15" cm="1">
        <f t="array" aca="1" ref="G42" ca="1">_xll.BDP(A42&amp;" Govt","REPO_FORWARD_PRICE","REPO_TERM_DATE",$A$4,"PX_ASK="&amp;D42,"SETTLE_DT",$A$2,"REPO_REPORATE="&amp;$A$5)</f>
        <v>98.966418427433553</v>
      </c>
      <c r="H42" s="15" cm="1">
        <f t="array" aca="1" ref="H42" ca="1">_xll.BDP(A42&amp;" Govt","YAS_BOND_YLD","YAS_BOND_PX",G42,"SETTLE_DT",$A$4)</f>
        <v>1.8777279999999998</v>
      </c>
      <c r="I42" s="11"/>
      <c r="J42" s="11" t="str">
        <f>+VLOOKUP(A42,mapping!$A:$B,2,FALSE)</f>
        <v>91282CJZ5</v>
      </c>
      <c r="K42" s="11" cm="1">
        <f t="array" ref="K42">_xll.BDP(J42&amp;" Govt","COUPON")</f>
        <v>4</v>
      </c>
      <c r="L42" s="17" cm="1">
        <f t="array" ref="L42">DATEVALUE(_xll.BDP(J42&amp;" Govt","MATURITY"))</f>
        <v>48990</v>
      </c>
      <c r="M42" s="15" cm="1">
        <f t="array" aca="1" ref="M42" ca="1">_xll.BDH(J42&amp;"@BVN4 CUSIP","PX_MID",$A$1,$A$1)</f>
        <v>98.3515625</v>
      </c>
      <c r="N42" s="15" t="str">
        <f t="shared" ca="1" si="14"/>
        <v>98-112</v>
      </c>
      <c r="O42" s="15" cm="1">
        <f t="array" aca="1" ref="O42" ca="1">_xll.BDP(J42&amp;" Govt","YAS_BOND_YLD","YAS_BOND_PX",M42,"SETTLE_DT",$A$2)</f>
        <v>4.2237169999999997</v>
      </c>
      <c r="P42" s="15" cm="1">
        <f t="array" aca="1" ref="P42" ca="1">_xll.BDP(J42&amp;" Govt","REPO_FORWARD_PRICE","REPO_TERM_DATE",$A$4,"PX_ASK="&amp;M42,"SETTLE_DT",$A$2,"REPO_REPORATE="&amp;$A$5)</f>
        <v>98.352405174684179</v>
      </c>
      <c r="Q42" s="15" cm="1">
        <f t="array" aca="1" ref="Q42" ca="1">_xll.BDP(J42&amp;" Govt","YAS_BOND_YLD","YAS_BOND_PX",P42,"SETTLE_DT",$A$4)</f>
        <v>4.2236500000000001</v>
      </c>
      <c r="R42" s="11"/>
      <c r="S42" s="22">
        <f t="shared" ca="1" si="15"/>
        <v>234.77729999999997</v>
      </c>
      <c r="T42" s="22">
        <f t="shared" ca="1" si="16"/>
        <v>234.59220000000002</v>
      </c>
      <c r="U42" s="15" cm="1">
        <f t="array" ref="U42">_xll.BDP($A42&amp;" Govt","BASE_CPI")</f>
        <v>307.39100000000002</v>
      </c>
      <c r="V42" s="15">
        <f t="shared" ca="1" si="17"/>
        <v>1.03193</v>
      </c>
      <c r="W42" s="14" cm="1">
        <f t="array" ref="W42">_xll.BDP($A42&amp;" Govt","YAS_RISK","YIELD_BETA_ASSUMPTION=1",)</f>
        <v>8.2944884418039297</v>
      </c>
      <c r="X42" s="15">
        <f t="shared" ca="1" si="18"/>
        <v>0.38821181800689164</v>
      </c>
      <c r="Y42" s="15">
        <f t="shared" ca="1" si="51"/>
        <v>0.13322264958542501</v>
      </c>
      <c r="Z42" s="15">
        <f t="shared" ca="1" si="52"/>
        <v>-4.1235582014534873E-2</v>
      </c>
      <c r="AA42" s="14">
        <f t="shared" ca="1" si="53"/>
        <v>23.021119316100059</v>
      </c>
      <c r="AB42" s="15" cm="1">
        <f t="array" ref="AB42">_xll.BDP(J42&amp;" Govt","YLD_YTM_MID")</f>
        <v>4.2441175765083026</v>
      </c>
      <c r="AC42" s="19">
        <v>0.75</v>
      </c>
      <c r="AD42" s="14">
        <f t="shared" ca="1" si="54"/>
        <v>0.51168941270756108</v>
      </c>
      <c r="AE42" s="22">
        <f t="shared" ca="1" si="55"/>
        <v>235.06265383069305</v>
      </c>
      <c r="AF42" s="22" cm="1">
        <f t="array" ref="AF42">(AB42-_xll.BDP(A42&amp;" Govt","YLD_YTM_MID"))*100</f>
        <v>237.20582218147422</v>
      </c>
      <c r="AG42" s="22">
        <f t="shared" ca="1" si="6"/>
        <v>2.143168350781167</v>
      </c>
      <c r="AI42" s="12">
        <v>2.5</v>
      </c>
      <c r="AJ42" s="12">
        <v>2.5</v>
      </c>
      <c r="AL42" s="13">
        <v>0</v>
      </c>
      <c r="AM42" s="13">
        <v>0</v>
      </c>
      <c r="AO42" s="14">
        <f t="shared" ca="1" si="19"/>
        <v>0.97196508037410001</v>
      </c>
      <c r="AP42" s="14">
        <f t="shared" ca="1" si="19"/>
        <v>0.97196508037410001</v>
      </c>
      <c r="AR42" s="5">
        <f t="shared" ca="1" si="7"/>
        <v>1.9032106890051128</v>
      </c>
      <c r="AS42" s="5">
        <f t="shared" ca="1" si="8"/>
        <v>1.8837713873976309</v>
      </c>
      <c r="AT42" cm="1">
        <f t="array" aca="1" ref="AT42" ca="1">_xll.BDP($A42&amp;" Govt","YAS_BOND_PX","YAS_BOND_YLD",AR42,"SETTLE_DT",$A$4)</f>
        <v>98.761807068208867</v>
      </c>
      <c r="AU42" cm="1">
        <f t="array" aca="1" ref="AU42" ca="1">_xll.BDP($A42&amp;" Govt","YAS_BOND_PX","YAS_BOND_YLD",AS42,"SETTLE_DT",$A$4)</f>
        <v>98.917850948518861</v>
      </c>
      <c r="AV42" s="15" t="str">
        <f t="shared" ca="1" si="9"/>
        <v>98-243</v>
      </c>
      <c r="AW42" s="15" t="str">
        <f t="shared" ca="1" si="10"/>
        <v>98-293</v>
      </c>
      <c r="AY42" cm="1">
        <f t="array" ref="AY42">_xll.BDP($A42&amp;" Govt","CBBT_PX_BID")</f>
        <v>98.9765625</v>
      </c>
      <c r="AZ42" cm="1">
        <f t="array" ref="AZ42">_xll.BDP($A42&amp;" Govt","CBBT_PX_ASK")</f>
        <v>99.046875</v>
      </c>
      <c r="BA42">
        <f t="shared" si="20"/>
        <v>99.01171875</v>
      </c>
      <c r="BB42" cm="1">
        <f t="array" aca="1" ref="BB42" ca="1">_xll.BDP(A42&amp;" Govt","YAS_BOND_YLD","YAS_BOND_PX",BA42,"SETTLE_DT",$A$4)</f>
        <v>1.8720940000000001</v>
      </c>
      <c r="BC42" s="15" t="str">
        <f t="shared" si="21"/>
        <v>98-312</v>
      </c>
      <c r="BD42" s="15" t="str">
        <f t="shared" si="22"/>
        <v>99-014</v>
      </c>
      <c r="BF42" s="4">
        <f t="shared" ca="1" si="23"/>
        <v>98.761807068208867</v>
      </c>
      <c r="BG42" s="4">
        <f t="shared" ca="1" si="24"/>
        <v>99.046875</v>
      </c>
      <c r="BH42" s="26">
        <f t="shared" si="25"/>
        <v>1.75</v>
      </c>
      <c r="BI42" s="17">
        <f t="shared" si="26"/>
        <v>48959</v>
      </c>
      <c r="BJ42" s="34" t="str">
        <f t="shared" ca="1" si="27"/>
        <v>98-243</v>
      </c>
      <c r="BK42" s="35" t="str">
        <f t="shared" ca="1" si="28"/>
        <v>99-014</v>
      </c>
      <c r="BL42" s="18">
        <v>100</v>
      </c>
      <c r="BM42" s="19"/>
      <c r="BN42" s="11" t="s">
        <v>154</v>
      </c>
      <c r="BO42" s="14">
        <f t="shared" ca="1" si="42"/>
        <v>4.450525964358035</v>
      </c>
      <c r="BP42" s="14">
        <f t="shared" ca="1" si="43"/>
        <v>22.902329890229034</v>
      </c>
      <c r="BQ42" s="11" t="s">
        <v>155</v>
      </c>
      <c r="BR42" s="14">
        <f t="shared" ca="1" si="44"/>
        <v>9.0329480166916234</v>
      </c>
      <c r="BS42" s="14">
        <f t="shared" ca="1" si="45"/>
        <v>23.060412385380769</v>
      </c>
      <c r="BT42" s="14">
        <f t="shared" ca="1" si="46"/>
        <v>15.995314354763565</v>
      </c>
      <c r="BU42" s="21">
        <f t="shared" si="47"/>
        <v>100</v>
      </c>
      <c r="BV42" s="14">
        <f t="shared" ca="1" si="48"/>
        <v>83.943943985428476</v>
      </c>
      <c r="BW42" s="16">
        <f t="shared" ca="1" si="49"/>
        <v>8.582513839571014E-2</v>
      </c>
      <c r="BX42" s="16">
        <f t="shared" ca="1" si="50"/>
        <v>0.91417486160428985</v>
      </c>
      <c r="BY42" s="11"/>
      <c r="BZ42" s="11" t="str">
        <f t="shared" si="31"/>
        <v>CT5</v>
      </c>
      <c r="CA42" s="11" t="str">
        <f t="shared" si="32"/>
        <v>CT10</v>
      </c>
      <c r="CB42" s="21">
        <f t="shared" ref="CB42:CB60" ca="1" si="56">(BL42*W42/10*AC42*BW42)/(VLOOKUP(BZ42,$BL$1:$BM$5,2,FALSE)/10)</f>
        <v>12.04813701743984</v>
      </c>
      <c r="CC42" s="21">
        <f t="shared" ref="CC42:CC60" ca="1" si="57">IF(BW42=1,"--",(BL42*W42/10*AC42*BX42)/(VLOOKUP(CA42,$BL$1:$BM$5,2,FALSE)/10))</f>
        <v>69.854770356965645</v>
      </c>
    </row>
    <row r="43" spans="1:81" x14ac:dyDescent="0.25">
      <c r="A43" s="19" t="s">
        <v>7</v>
      </c>
      <c r="B43" s="11" cm="1">
        <f t="array" ref="B43">_xll.BDP(A43&amp;" Govt","COUPON")</f>
        <v>1.875</v>
      </c>
      <c r="C43" s="17" cm="1">
        <f t="array" ref="C43">DATEVALUE(_xll.BDP(A43&amp;" Govt","MATURITY"))</f>
        <v>49140</v>
      </c>
      <c r="D43" s="15" cm="1">
        <f t="array" aca="1" ref="D43" ca="1">_xll.BDH(A43&amp;"@BVN4 CUSIP","PX_MID",$A$1,$A$1)</f>
        <v>100.0859375</v>
      </c>
      <c r="E43" s="15" t="str">
        <f t="shared" ca="1" si="13"/>
        <v>100-026</v>
      </c>
      <c r="F43" s="15" cm="1">
        <f t="array" aca="1" ref="F43" ca="1">_xll.BDP(A43&amp;" Govt","YAS_BOND_YLD","YAS_BOND_PX",D43,"SETTLE_DT",$A$2)</f>
        <v>1.864784</v>
      </c>
      <c r="G43" s="15" cm="1">
        <f t="array" aca="1" ref="G43" ca="1">_xll.BDP(A43&amp;" Govt","REPO_FORWARD_PRICE","REPO_TERM_DATE",$A$4,"PX_ASK="&amp;D43,"SETTLE_DT",$A$2,"REPO_REPORATE="&amp;$A$5)</f>
        <v>100.07198526950094</v>
      </c>
      <c r="H43" s="15" cm="1">
        <f t="array" aca="1" ref="H43" ca="1">_xll.BDP(A43&amp;" Govt","YAS_BOND_YLD","YAS_BOND_PX",G43,"SETTLE_DT",$A$4)</f>
        <v>1.86642</v>
      </c>
      <c r="I43" s="11"/>
      <c r="J43" s="11" t="str">
        <f>+VLOOKUP(A43,mapping!$A:$B,2,FALSE)</f>
        <v>91282CLF6</v>
      </c>
      <c r="K43" s="11" cm="1">
        <f t="array" ref="K43">_xll.BDP(J43&amp;" Govt","COUPON")</f>
        <v>3.875</v>
      </c>
      <c r="L43" s="17" cm="1">
        <f t="array" ref="L43">DATEVALUE(_xll.BDP(J43&amp;" Govt","MATURITY"))</f>
        <v>49171</v>
      </c>
      <c r="M43" s="15" cm="1">
        <f t="array" aca="1" ref="M43" ca="1">_xll.BDH(J43&amp;"@BVN4 CUSIP","PX_MID",$A$1,$A$1)</f>
        <v>97.1796875</v>
      </c>
      <c r="N43" s="15" t="str">
        <f t="shared" ca="1" si="14"/>
        <v>97-056</v>
      </c>
      <c r="O43" s="15" cm="1">
        <f t="array" aca="1" ref="O43" ca="1">_xll.BDP(J43&amp;" Govt","YAS_BOND_YLD","YAS_BOND_PX",M43,"SETTLE_DT",$A$2)</f>
        <v>4.241581</v>
      </c>
      <c r="P43" s="15" cm="1">
        <f t="array" aca="1" ref="P43" ca="1">_xll.BDP(J43&amp;" Govt","REPO_FORWARD_PRICE","REPO_TERM_DATE",$A$4,"PX_ASK="&amp;M43,"SETTLE_DT",$A$2,"REPO_REPORATE="&amp;$A$5)</f>
        <v>97.180732826797751</v>
      </c>
      <c r="Q43" s="15" cm="1">
        <f t="array" aca="1" ref="Q43" ca="1">_xll.BDP(J43&amp;" Govt","YAS_BOND_YLD","YAS_BOND_PX",P43,"SETTLE_DT",$A$4)</f>
        <v>4.2415229999999999</v>
      </c>
      <c r="R43" s="11"/>
      <c r="S43" s="22">
        <f t="shared" ca="1" si="15"/>
        <v>237.67969999999997</v>
      </c>
      <c r="T43" s="22">
        <f t="shared" ca="1" si="16"/>
        <v>237.51030000000003</v>
      </c>
      <c r="U43" s="15" cm="1">
        <f t="array" ref="U43">_xll.BDP($A43&amp;" Govt","BASE_CPI")</f>
        <v>313.78329000000002</v>
      </c>
      <c r="V43" s="15">
        <f t="shared" ca="1" si="17"/>
        <v>1.0108999999999999</v>
      </c>
      <c r="W43" s="14" cm="1">
        <f t="array" ref="W43">_xll.BDP($A43&amp;" Govt","YAS_RISK","YIELD_BETA_ASSUMPTION=1",)</f>
        <v>8.6040577032808834</v>
      </c>
      <c r="X43" s="15">
        <f t="shared" ca="1" si="18"/>
        <v>0.3707148087991009</v>
      </c>
      <c r="Y43" s="15">
        <f t="shared" ca="1" si="51"/>
        <v>0.12721820093558744</v>
      </c>
      <c r="Z43" s="15">
        <f t="shared" ca="1" si="52"/>
        <v>-3.9377062194347119E-2</v>
      </c>
      <c r="AA43" s="14">
        <f t="shared" ca="1" si="53"/>
        <v>22.804015453278677</v>
      </c>
      <c r="AB43" s="15" cm="1">
        <f t="array" ref="AB43">_xll.BDP(J43&amp;" Govt","YLD_YTM_MID")</f>
        <v>4.260204181696122</v>
      </c>
      <c r="AC43" s="19">
        <v>0.75</v>
      </c>
      <c r="AD43" s="14">
        <f t="shared" ca="1" si="54"/>
        <v>0.46702954240305239</v>
      </c>
      <c r="AE43" s="22">
        <f t="shared" ca="1" si="55"/>
        <v>237.93795248020874</v>
      </c>
      <c r="AF43" s="22" cm="1">
        <f t="array" ref="AF43">(AB43-_xll.BDP(A43&amp;" Govt","YLD_YTM_MID"))*100</f>
        <v>239.81713813181997</v>
      </c>
      <c r="AG43" s="22">
        <f t="shared" ca="1" si="6"/>
        <v>1.8791856516112375</v>
      </c>
      <c r="AI43" s="12">
        <v>2.5</v>
      </c>
      <c r="AJ43" s="12">
        <v>2.5</v>
      </c>
      <c r="AL43" s="13">
        <v>0</v>
      </c>
      <c r="AM43" s="13">
        <v>0</v>
      </c>
      <c r="AO43" s="14">
        <f t="shared" ca="1" si="19"/>
        <v>0.91789903349770408</v>
      </c>
      <c r="AP43" s="14">
        <f t="shared" ca="1" si="19"/>
        <v>0.91789903349770408</v>
      </c>
      <c r="AR43" s="5">
        <f t="shared" ca="1" si="7"/>
        <v>1.8900036472290118</v>
      </c>
      <c r="AS43" s="5">
        <f t="shared" ca="1" si="8"/>
        <v>1.8716456665590577</v>
      </c>
      <c r="AT43" cm="1">
        <f t="array" aca="1" ref="AT43" ca="1">_xll.BDP($A43&amp;" Govt","YAS_BOND_PX","YAS_BOND_YLD",AR43,"SETTLE_DT",$A$4)</f>
        <v>99.871433480985445</v>
      </c>
      <c r="AU43" cm="1">
        <f t="array" aca="1" ref="AU43" ca="1">_xll.BDP($A43&amp;" Govt","YAS_BOND_PX","YAS_BOND_YLD",AS43,"SETTLE_DT",$A$4)</f>
        <v>100.02750608076232</v>
      </c>
      <c r="AV43" s="15" t="str">
        <f t="shared" ca="1" si="9"/>
        <v>99-277</v>
      </c>
      <c r="AW43" s="15" t="str">
        <f t="shared" ca="1" si="10"/>
        <v>100-007</v>
      </c>
      <c r="AY43" cm="1">
        <f t="array" ref="AY43">_xll.BDP($A43&amp;" Govt","CBBT_PX_BID")</f>
        <v>100.078125</v>
      </c>
      <c r="AZ43" cm="1">
        <f t="array" ref="AZ43">_xll.BDP($A43&amp;" Govt","CBBT_PX_ASK")</f>
        <v>100.140625</v>
      </c>
      <c r="BA43">
        <f t="shared" si="20"/>
        <v>100.109375</v>
      </c>
      <c r="BB43" cm="1">
        <f t="array" aca="1" ref="BB43" ca="1">_xll.BDP(A43&amp;" Govt","YAS_BOND_YLD","YAS_BOND_PX",BA43,"SETTLE_DT",$A$4)</f>
        <v>1.8620290000000002</v>
      </c>
      <c r="BC43" s="15" t="str">
        <f t="shared" si="21"/>
        <v>100-024</v>
      </c>
      <c r="BD43" s="15" t="str">
        <f t="shared" si="22"/>
        <v>100-044</v>
      </c>
      <c r="BF43" s="4">
        <f t="shared" ca="1" si="23"/>
        <v>99.871433480985445</v>
      </c>
      <c r="BG43" s="4">
        <f t="shared" ca="1" si="24"/>
        <v>100.140625</v>
      </c>
      <c r="BH43" s="26">
        <f t="shared" si="25"/>
        <v>1.875</v>
      </c>
      <c r="BI43" s="17">
        <f t="shared" si="26"/>
        <v>49140</v>
      </c>
      <c r="BJ43" s="34" t="str">
        <f t="shared" ca="1" si="27"/>
        <v>99-277</v>
      </c>
      <c r="BK43" s="35" t="str">
        <f t="shared" ca="1" si="28"/>
        <v>100-044</v>
      </c>
      <c r="BL43" s="18">
        <v>100</v>
      </c>
      <c r="BM43" s="19"/>
      <c r="BN43" s="11" t="s">
        <v>154</v>
      </c>
      <c r="BO43" s="14">
        <f t="shared" ca="1" si="42"/>
        <v>4.450525964358035</v>
      </c>
      <c r="BP43" s="14">
        <f t="shared" ca="1" si="43"/>
        <v>22.902329890229034</v>
      </c>
      <c r="BQ43" s="11" t="s">
        <v>155</v>
      </c>
      <c r="BR43" s="14">
        <f t="shared" ca="1" si="44"/>
        <v>9.0329480166916234</v>
      </c>
      <c r="BS43" s="14">
        <f t="shared" ca="1" si="45"/>
        <v>23.060412385380769</v>
      </c>
      <c r="BT43" s="14">
        <f t="shared" ca="1" si="46"/>
        <v>7.2659571516622705</v>
      </c>
      <c r="BU43" s="21">
        <f t="shared" si="47"/>
        <v>100</v>
      </c>
      <c r="BV43" s="14">
        <f t="shared" ca="1" si="48"/>
        <v>91.672003186395841</v>
      </c>
      <c r="BW43" s="16">
        <f t="shared" ca="1" si="49"/>
        <v>3.7583814607676416E-2</v>
      </c>
      <c r="BX43" s="16">
        <f t="shared" ca="1" si="50"/>
        <v>0.96241618539232354</v>
      </c>
      <c r="BY43" s="11"/>
      <c r="BZ43" s="11" t="str">
        <f t="shared" si="31"/>
        <v>CT5</v>
      </c>
      <c r="CA43" s="11" t="str">
        <f t="shared" si="32"/>
        <v>CT10</v>
      </c>
      <c r="CB43" s="21">
        <f t="shared" ca="1" si="56"/>
        <v>5.4729307211147908</v>
      </c>
      <c r="CC43" s="21">
        <f t="shared" ca="1" si="57"/>
        <v>76.285750069835927</v>
      </c>
    </row>
    <row r="44" spans="1:81" x14ac:dyDescent="0.25">
      <c r="A44" s="19" t="s">
        <v>1</v>
      </c>
      <c r="B44" s="11" cm="1">
        <f t="array" ref="B44">_xll.BDP(A44&amp;" Govt","COUPON")</f>
        <v>2.125</v>
      </c>
      <c r="C44" s="17" cm="1">
        <f t="array" ref="C44">DATEVALUE(_xll.BDP(A44&amp;" Govt","MATURITY"))</f>
        <v>49324</v>
      </c>
      <c r="D44" s="15" cm="1">
        <f t="array" aca="1" ref="D44" ca="1">_xll.BDH(A44&amp;"@BVN4 CUSIP","PX_MID",$A$1,$A$1)</f>
        <v>101.79296875</v>
      </c>
      <c r="E44" s="15" t="str">
        <f t="shared" ca="1" si="13"/>
        <v>101-253</v>
      </c>
      <c r="F44" s="15" cm="1">
        <f t="array" aca="1" ref="F44" ca="1">_xll.BDP(A44&amp;" Govt","YAS_BOND_YLD","YAS_BOND_PX",D44,"SETTLE_DT",$A$2)</f>
        <v>1.923476</v>
      </c>
      <c r="G44" s="15" cm="1">
        <f t="array" aca="1" ref="G44" ca="1">_xll.BDP(A44&amp;" Govt","REPO_FORWARD_PRICE","REPO_TERM_DATE",$A$4,"PX_ASK="&amp;D44,"SETTLE_DT",$A$2,"REPO_REPORATE="&amp;$A$5)</f>
        <v>101.77703400229284</v>
      </c>
      <c r="H44" s="15" cm="1">
        <f t="array" aca="1" ref="H44" ca="1">_xll.BDP(A44&amp;" Govt","YAS_BOND_YLD","YAS_BOND_PX",G44,"SETTLE_DT",$A$4)</f>
        <v>1.925197</v>
      </c>
      <c r="I44" s="11"/>
      <c r="J44" s="11" t="str">
        <f>+VLOOKUP(A44,mapping!$A:$B,2,FALSE)</f>
        <v>91282CMM0</v>
      </c>
      <c r="K44" s="11" cm="1">
        <f t="array" ref="K44">_xll.BDP(J44&amp;" Govt","COUPON")</f>
        <v>4.625</v>
      </c>
      <c r="L44" s="17" cm="1">
        <f t="array" ref="L44">DATEVALUE(_xll.BDP(J44&amp;" Govt","MATURITY"))</f>
        <v>49355</v>
      </c>
      <c r="M44" s="15" cm="1">
        <f t="array" aca="1" ref="M44" ca="1">_xll.BDH(J44&amp;"@BVN4 CUSIP","PX_MID",$A$1,$A$1)</f>
        <v>103.0078125</v>
      </c>
      <c r="N44" s="15" t="str">
        <f t="shared" ca="1" si="14"/>
        <v>103-002</v>
      </c>
      <c r="O44" s="15" cm="1">
        <f t="array" aca="1" ref="O44" ca="1">_xll.BDP(J44&amp;" Govt","YAS_BOND_YLD","YAS_BOND_PX",M44,"SETTLE_DT",$A$2)</f>
        <v>4.2490819999999996</v>
      </c>
      <c r="P44" s="15" cm="1">
        <f t="array" aca="1" ref="P44" ca="1">_xll.BDP(J44&amp;" Govt","REPO_FORWARD_PRICE","REPO_TERM_DATE",$A$4,"PX_ASK="&amp;M44,"SETTLE_DT",$A$2,"REPO_REPORATE="&amp;$A$5)</f>
        <v>103.00749703781436</v>
      </c>
      <c r="Q44" s="15" cm="1">
        <f t="array" aca="1" ref="Q44" ca="1">_xll.BDP(J44&amp;" Govt","YAS_BOND_YLD","YAS_BOND_PX",P44,"SETTLE_DT",$A$4)</f>
        <v>4.249028</v>
      </c>
      <c r="R44" s="11"/>
      <c r="S44" s="22">
        <f t="shared" ca="1" si="15"/>
        <v>232.56059999999997</v>
      </c>
      <c r="T44" s="22">
        <f t="shared" ca="1" si="16"/>
        <v>232.38310000000001</v>
      </c>
      <c r="U44" s="15" cm="1">
        <f t="array" ref="U44">_xll.BDP($A44&amp;" Govt","BASE_CPI")</f>
        <v>315.58677</v>
      </c>
      <c r="V44" s="15">
        <f t="shared" ca="1" si="17"/>
        <v>1.0051300000000001</v>
      </c>
      <c r="W44" s="14" cm="1">
        <f t="array" ref="W44">_xll.BDP($A44&amp;" Govt","YAS_RISK","YIELD_BETA_ASSUMPTION=1",)</f>
        <v>9.0329480166916234</v>
      </c>
      <c r="X44" s="15">
        <f t="shared" ca="1" si="18"/>
        <v>0.35708325189689394</v>
      </c>
      <c r="Y44" s="15">
        <f t="shared" ca="1" si="51"/>
        <v>0.12254025955345708</v>
      </c>
      <c r="Z44" s="15">
        <f t="shared" ca="1" si="52"/>
        <v>-3.7929127957021108E-2</v>
      </c>
      <c r="AA44" s="14">
        <f t="shared" ca="1" si="53"/>
        <v>23.060412385380769</v>
      </c>
      <c r="AB44" s="15" cm="1">
        <f t="array" ref="AB44">_xll.BDP(J44&amp;" Govt","YLD_YTM_MID")</f>
        <v>4.2682570999999996</v>
      </c>
      <c r="AC44" s="19">
        <v>0.75</v>
      </c>
      <c r="AD44" s="14">
        <f t="shared" ca="1" si="54"/>
        <v>0.48072749999998887</v>
      </c>
      <c r="AE44" s="22">
        <f t="shared" ca="1" si="55"/>
        <v>232.82589837204299</v>
      </c>
      <c r="AF44" s="22" cm="1">
        <f t="array" ref="AF44">(AB44-_xll.BDP(A44&amp;" Govt","YLD_YTM_MID"))*100</f>
        <v>234.82553424999472</v>
      </c>
      <c r="AG44" s="22">
        <f t="shared" ca="1" si="6"/>
        <v>1.9996358779517323</v>
      </c>
      <c r="AI44" s="12">
        <v>2.5</v>
      </c>
      <c r="AJ44" s="12">
        <v>2.5</v>
      </c>
      <c r="AL44" s="13">
        <v>0</v>
      </c>
      <c r="AM44" s="13">
        <v>0</v>
      </c>
      <c r="AO44" s="14">
        <f t="shared" ca="1" si="19"/>
        <v>0.86932617241785681</v>
      </c>
      <c r="AP44" s="14">
        <f t="shared" ca="1" si="19"/>
        <v>0.86932617241785681</v>
      </c>
      <c r="AR44" s="5">
        <f t="shared" ca="1" si="7"/>
        <v>1.9486913780037483</v>
      </c>
      <c r="AS44" s="5">
        <f t="shared" ca="1" si="8"/>
        <v>1.931304854555391</v>
      </c>
      <c r="AT44" cm="1">
        <f t="array" aca="1" ref="AT44" ca="1">_xll.BDP($A44&amp;" Govt","YAS_BOND_PX","YAS_BOND_YLD",AR44,"SETTLE_DT",$A$4)</f>
        <v>101.56609658186855</v>
      </c>
      <c r="AU44" cm="1">
        <f t="array" aca="1" ref="AU44" ca="1">_xll.BDP($A44&amp;" Govt","YAS_BOND_PX","YAS_BOND_YLD",AS44,"SETTLE_DT",$A$4)</f>
        <v>101.72214965135572</v>
      </c>
      <c r="AV44" s="15" t="str">
        <f t="shared" ca="1" si="9"/>
        <v>101-181</v>
      </c>
      <c r="AW44" s="15" t="str">
        <f t="shared" ca="1" si="10"/>
        <v>101-231</v>
      </c>
      <c r="AY44" cm="1">
        <f t="array" ref="AY44">_xll.BDP($A44&amp;" Govt","CBBT_PX_BID")</f>
        <v>101.796875</v>
      </c>
      <c r="AZ44" cm="1">
        <f t="array" ref="AZ44">_xll.BDP($A44&amp;" Govt","CBBT_PX_ASK")</f>
        <v>101.8515625</v>
      </c>
      <c r="BA44">
        <f t="shared" si="20"/>
        <v>101.82421875</v>
      </c>
      <c r="BB44" cm="1">
        <f t="array" aca="1" ref="BB44" ca="1">_xll.BDP(A44&amp;" Govt","YAS_BOND_YLD","YAS_BOND_PX",BA44,"SETTLE_DT",$A$4)</f>
        <v>1.9199489999999999</v>
      </c>
      <c r="BC44" s="15" t="str">
        <f t="shared" si="21"/>
        <v>101-254</v>
      </c>
      <c r="BD44" s="15" t="str">
        <f t="shared" si="22"/>
        <v>101-272</v>
      </c>
      <c r="BF44" s="4">
        <f t="shared" ca="1" si="23"/>
        <v>101.56609658186855</v>
      </c>
      <c r="BG44" s="4">
        <f t="shared" ca="1" si="24"/>
        <v>101.8515625</v>
      </c>
      <c r="BH44" s="26">
        <f t="shared" si="25"/>
        <v>2.125</v>
      </c>
      <c r="BI44" s="17">
        <f t="shared" si="26"/>
        <v>49324</v>
      </c>
      <c r="BJ44" s="34" t="str">
        <f t="shared" ca="1" si="27"/>
        <v>101-181</v>
      </c>
      <c r="BK44" s="35" t="str">
        <f t="shared" ca="1" si="28"/>
        <v>101-272</v>
      </c>
      <c r="BL44" s="18">
        <v>100</v>
      </c>
      <c r="BM44" s="19" t="s">
        <v>155</v>
      </c>
      <c r="BN44" s="11"/>
      <c r="BO44" s="14"/>
      <c r="BP44" s="14"/>
      <c r="BQ44" s="11"/>
      <c r="BR44" s="14"/>
      <c r="BS44" s="14"/>
      <c r="BT44" s="14"/>
      <c r="BU44" s="11"/>
      <c r="BV44" s="14"/>
      <c r="BW44" s="20">
        <v>1</v>
      </c>
      <c r="BX44" s="16"/>
      <c r="BY44" s="11"/>
      <c r="BZ44" s="11" t="str">
        <f t="shared" si="31"/>
        <v>CT10</v>
      </c>
      <c r="CA44" s="11" t="str">
        <f t="shared" si="32"/>
        <v/>
      </c>
      <c r="CB44" s="21">
        <f t="shared" si="56"/>
        <v>83.215973708706699</v>
      </c>
      <c r="CC44" s="21" t="str">
        <f t="shared" si="57"/>
        <v>--</v>
      </c>
    </row>
    <row r="45" spans="1:81" x14ac:dyDescent="0.25">
      <c r="A45" s="19" t="s">
        <v>91</v>
      </c>
      <c r="B45" s="11" cm="1">
        <f t="array" ref="B45">_xll.BDP(A45&amp;" Govt","COUPON")</f>
        <v>2.125</v>
      </c>
      <c r="C45" s="17" cm="1">
        <f t="array" ref="C45">DATEVALUE(_xll.BDP(A45&amp;" Govt","MATURITY"))</f>
        <v>51181</v>
      </c>
      <c r="D45" s="15" cm="1">
        <f t="array" aca="1" ref="D45" ca="1">_xll.BDH(A45&amp;"@BVN4 CUSIP","PX_MID",$A$1,$A$1)</f>
        <v>100.216796875</v>
      </c>
      <c r="E45" s="15" t="str">
        <f t="shared" ca="1" si="13"/>
        <v>100-068</v>
      </c>
      <c r="F45" s="15" cm="1">
        <f t="array" aca="1" ref="F45" ca="1">_xll.BDP(A45&amp;" Govt","YAS_BOND_YLD","YAS_BOND_PX",D45,"SETTLE_DT",$A$2)</f>
        <v>2.1078960000000002</v>
      </c>
      <c r="G45" s="15" cm="1">
        <f t="array" aca="1" ref="G45" ca="1">_xll.BDP(A45&amp;" Govt","REPO_FORWARD_PRICE","REPO_TERM_DATE",$A$4,"PX_ASK="&amp;D45,"SETTLE_DT",$A$2,"REPO_REPORATE="&amp;$A$5)</f>
        <v>100.20180334296954</v>
      </c>
      <c r="H45" s="15" cm="1">
        <f t="array" aca="1" ref="H45" ca="1">_xll.BDP(A45&amp;" Govt","YAS_BOND_YLD","YAS_BOND_PX",G45,"SETTLE_DT",$A$4)</f>
        <v>2.1090689999999999</v>
      </c>
      <c r="I45" s="11"/>
      <c r="J45" s="11" t="str">
        <f>+VLOOKUP(A45,mapping!$A:$B,2,FALSE)</f>
        <v>912810QE1</v>
      </c>
      <c r="K45" s="11" cm="1">
        <f t="array" ref="K45">_xll.BDP(J45&amp;" Govt","COUPON")</f>
        <v>4.625</v>
      </c>
      <c r="L45" s="17" cm="1">
        <f t="array" ref="L45">DATEVALUE(_xll.BDP(J45&amp;" Govt","MATURITY"))</f>
        <v>51181</v>
      </c>
      <c r="M45" s="15" cm="1">
        <f t="array" aca="1" ref="M45" ca="1">_xll.BDH(J45&amp;"@BVN4 CUSIP","PX_MID",$A$1,$A$1)</f>
        <v>101.75</v>
      </c>
      <c r="N45" s="15" t="str">
        <f t="shared" ca="1" si="14"/>
        <v>101-240</v>
      </c>
      <c r="O45" s="15" cm="1">
        <f t="array" aca="1" ref="O45" ca="1">_xll.BDP(J45&amp;" Govt","YAS_BOND_YLD","YAS_BOND_PX",M45,"SETTLE_DT",$A$2)</f>
        <v>4.462548</v>
      </c>
      <c r="P45" s="15" cm="1">
        <f t="array" aca="1" ref="P45" ca="1">_xll.BDP(J45&amp;" Govt","REPO_FORWARD_PRICE","REPO_TERM_DATE",$A$4,"PX_ASK="&amp;M45,"SETTLE_DT",$A$2,"REPO_REPORATE="&amp;$A$5)</f>
        <v>101.74953307622582</v>
      </c>
      <c r="Q45" s="15" cm="1">
        <f t="array" aca="1" ref="Q45" ca="1">_xll.BDP(J45&amp;" Govt","YAS_BOND_YLD","YAS_BOND_PX",P45,"SETTLE_DT",$A$4)</f>
        <v>4.4625620000000001</v>
      </c>
      <c r="R45" s="11"/>
      <c r="S45" s="22">
        <f t="shared" ca="1" si="15"/>
        <v>235.46519999999998</v>
      </c>
      <c r="T45" s="22">
        <f t="shared" ca="1" si="16"/>
        <v>235.34930000000003</v>
      </c>
      <c r="U45" s="15" cm="1">
        <f t="array" ref="U45">_xll.BDP($A45&amp;" Govt","BASE_CPI")</f>
        <v>216.1395</v>
      </c>
      <c r="V45" s="15">
        <f t="shared" ca="1" si="17"/>
        <v>1.46759</v>
      </c>
      <c r="W45" s="14" cm="1">
        <f t="array" ref="W45">_xll.BDP($A45&amp;" Govt","YAS_RISK","YIELD_BETA_ASSUMPTION=1",)</f>
        <v>18.689226438563409</v>
      </c>
      <c r="X45" s="15">
        <f t="shared" ca="1" si="18"/>
        <v>0.24809330765488924</v>
      </c>
      <c r="Y45" s="15">
        <f t="shared" ca="1" si="51"/>
        <v>8.513818038792835E-2</v>
      </c>
      <c r="Z45" s="15">
        <f t="shared" ca="1" si="52"/>
        <v>-2.6352293929595951E-2</v>
      </c>
      <c r="AA45" s="14">
        <f t="shared" ca="1" si="53"/>
        <v>33.149306913276071</v>
      </c>
      <c r="AB45" s="15" cm="1">
        <f t="array" ref="AB45">_xll.BDP(J45&amp;" Govt","YLD_YTM_MID")</f>
        <v>4.4761572999999997</v>
      </c>
      <c r="AC45" s="19">
        <v>0.75</v>
      </c>
      <c r="AD45" s="14">
        <f t="shared" ca="1" si="54"/>
        <v>0.33988249999998832</v>
      </c>
      <c r="AE45" s="22">
        <f t="shared" ca="1" si="55"/>
        <v>235.66283020607042</v>
      </c>
      <c r="AF45" s="22" cm="1">
        <f t="array" ref="AF45">(AB45-_xll.BDP(A45&amp;" Govt","YLD_YTM_MID"))*100</f>
        <v>237.02528520609718</v>
      </c>
      <c r="AG45" s="22">
        <f t="shared" ca="1" si="6"/>
        <v>1.3624550000267561</v>
      </c>
      <c r="AI45" s="12">
        <v>6</v>
      </c>
      <c r="AJ45" s="12">
        <v>6</v>
      </c>
      <c r="AL45" s="13">
        <v>0</v>
      </c>
      <c r="AM45" s="13">
        <v>0</v>
      </c>
      <c r="AO45" s="14">
        <f t="shared" ca="1" si="19"/>
        <v>1.4723623040502465</v>
      </c>
      <c r="AP45" s="14">
        <f t="shared" ca="1" si="19"/>
        <v>1.4723623040502465</v>
      </c>
      <c r="AR45" s="5">
        <f t="shared" ca="1" si="7"/>
        <v>2.1342526209797978</v>
      </c>
      <c r="AS45" s="5">
        <f t="shared" ca="1" si="8"/>
        <v>2.1048053748987932</v>
      </c>
      <c r="AT45" cm="1">
        <f t="array" aca="1" ref="AT45" ca="1">_xll.BDP($A45&amp;" Govt","YAS_BOND_PX","YAS_BOND_YLD",AR45,"SETTLE_DT",$A$4)</f>
        <v>99.881537407365016</v>
      </c>
      <c r="AU45" cm="1">
        <f t="array" aca="1" ref="AU45" ca="1">_xll.BDP($A45&amp;" Govt","YAS_BOND_PX","YAS_BOND_YLD",AS45,"SETTLE_DT",$A$4)</f>
        <v>100.25614053445513</v>
      </c>
      <c r="AV45" s="15" t="str">
        <f t="shared" ca="1" si="9"/>
        <v>99-282</v>
      </c>
      <c r="AW45" s="15" t="str">
        <f t="shared" ca="1" si="10"/>
        <v>100-082</v>
      </c>
      <c r="AY45" cm="1">
        <f t="array" ref="AY45">_xll.BDP($A45&amp;" Govt","CBBT_PX_BID")</f>
        <v>100.0859375</v>
      </c>
      <c r="AZ45" cm="1">
        <f t="array" ref="AZ45">_xll.BDP($A45&amp;" Govt","CBBT_PX_ASK")</f>
        <v>100.3984375</v>
      </c>
      <c r="BA45">
        <f t="shared" si="20"/>
        <v>100.2421875</v>
      </c>
      <c r="BB45" cm="1">
        <f t="array" aca="1" ref="BB45" ca="1">_xll.BDP(A45&amp;" Govt","YAS_BOND_YLD","YAS_BOND_PX",BA45,"SETTLE_DT",$A$4)</f>
        <v>2.1059000000000001</v>
      </c>
      <c r="BC45" s="15" t="str">
        <f t="shared" si="21"/>
        <v>100-026</v>
      </c>
      <c r="BD45" s="15" t="str">
        <f t="shared" si="22"/>
        <v>100-126</v>
      </c>
      <c r="BF45" s="4">
        <f t="shared" ca="1" si="23"/>
        <v>99.881537407365016</v>
      </c>
      <c r="BG45" s="4">
        <f t="shared" ca="1" si="24"/>
        <v>100.3984375</v>
      </c>
      <c r="BH45" s="26">
        <f t="shared" si="25"/>
        <v>2.125</v>
      </c>
      <c r="BI45" s="17">
        <f t="shared" si="26"/>
        <v>51181</v>
      </c>
      <c r="BJ45" s="34" t="str">
        <f t="shared" ca="1" si="27"/>
        <v>99-282</v>
      </c>
      <c r="BK45" s="35" t="str">
        <f t="shared" ca="1" si="28"/>
        <v>100-126</v>
      </c>
      <c r="BL45" s="18">
        <v>100</v>
      </c>
      <c r="BM45" s="19"/>
      <c r="BN45" s="11" t="s">
        <v>155</v>
      </c>
      <c r="BO45" s="14">
        <f t="shared" ref="BO45:BO59" ca="1" si="58">IF(ISBLANK(BN45),"",OFFSET($W$1,MATCH(BN45,$BM:$BM,0)-1,))</f>
        <v>9.0329480166916234</v>
      </c>
      <c r="BP45" s="14">
        <f t="shared" ref="BP45:BP59" ca="1" si="59">IF(ISBLANK(BN45),"",OFFSET($AA$1,MATCH(BN45,$BM:$BM,0)-1,))</f>
        <v>23.060412385380769</v>
      </c>
      <c r="BQ45" s="11" t="s">
        <v>156</v>
      </c>
      <c r="BR45" s="14">
        <f t="shared" ref="BR45:BR59" ca="1" si="60">IF(ISBLANK(BQ45),"",OFFSET($W$1,MATCH(BQ45,$BM:$BM,0)-1,))</f>
        <v>21.561613305015289</v>
      </c>
      <c r="BS45" s="14">
        <f t="shared" ref="BS45:BS59" ca="1" si="61">IF(ISBLANK(BQ45),"",OFFSET($AA$1,MATCH(BQ45,$BM:$BM,0)-1,))</f>
        <v>22.779518350049731</v>
      </c>
      <c r="BT45" s="14">
        <f t="shared" ref="BT45:BT59" ca="1" si="62">IF(ISBLANK(BN45),"",50-((BU45*AA45-50*BP45-(BU45*W45-50*BO45)/BR45*BS45)/100/((BU45*AA45-(50+1)*BP45-(BU45*W45-(50+1)*BO45)/BR45*BS45)/100-(BU45*AA45-50*BP45-(BU45*W45-50*BO45)/BR45*BS45)/100)))</f>
        <v>99.165380032468079</v>
      </c>
      <c r="BU45" s="21">
        <f t="shared" ref="BU45:BU59" si="63">+BL45</f>
        <v>100</v>
      </c>
      <c r="BV45" s="14">
        <f t="shared" ref="BV45:BV59" ca="1" si="64">IF(ISBLANK(BN45),"",(BU45*W45-BT45*BO45)/BR45)</f>
        <v>45.134234957326967</v>
      </c>
      <c r="BW45" s="16">
        <f t="shared" ref="BW45:BW59" ca="1" si="65">MIN(MAX(IF(ISBLANK(BN45),"",(BT45*BO45)/(BU45*W45)),0),1)</f>
        <v>0.47928988705516906</v>
      </c>
      <c r="BX45" s="16">
        <f t="shared" ref="BX45:BX59" ca="1" si="66">IF(ISBLANK(BN45),"",1-BW45)</f>
        <v>0.52071011294483094</v>
      </c>
      <c r="BY45" s="11"/>
      <c r="BZ45" s="11" t="str">
        <f t="shared" si="31"/>
        <v>CT10</v>
      </c>
      <c r="CA45" s="11" t="str">
        <f t="shared" si="32"/>
        <v>CT30</v>
      </c>
      <c r="CB45" s="21">
        <f t="shared" ca="1" si="56"/>
        <v>82.521436575957722</v>
      </c>
      <c r="CC45" s="21">
        <f t="shared" ca="1" si="57"/>
        <v>45.083779423556372</v>
      </c>
    </row>
    <row r="46" spans="1:81" x14ac:dyDescent="0.25">
      <c r="A46" s="19" t="s">
        <v>89</v>
      </c>
      <c r="B46" s="11" cm="1">
        <f t="array" ref="B46">_xll.BDP(A46&amp;" Govt","COUPON")</f>
        <v>2.125</v>
      </c>
      <c r="C46" s="17" cm="1">
        <f t="array" ref="C46">DATEVALUE(_xll.BDP(A46&amp;" Govt","MATURITY"))</f>
        <v>51547</v>
      </c>
      <c r="D46" s="15" cm="1">
        <f t="array" aca="1" ref="D46" ca="1">_xll.BDH(A46&amp;"@BVN4 CUSIP","PX_MID",$A$1,$A$1)</f>
        <v>99.947265625</v>
      </c>
      <c r="E46" s="15" t="str">
        <f t="shared" ca="1" si="13"/>
        <v>99-303</v>
      </c>
      <c r="F46" s="15" cm="1">
        <f t="array" aca="1" ref="F46" ca="1">_xll.BDP(A46&amp;" Govt","YAS_BOND_YLD","YAS_BOND_PX",D46,"SETTLE_DT",$A$2)</f>
        <v>2.1288589999999998</v>
      </c>
      <c r="G46" s="15" cm="1">
        <f t="array" aca="1" ref="G46" ca="1">_xll.BDP(A46&amp;" Govt","REPO_FORWARD_PRICE","REPO_TERM_DATE",$A$4,"PX_ASK="&amp;D46,"SETTLE_DT",$A$2,"REPO_REPORATE="&amp;$A$5)</f>
        <v>99.932709003086998</v>
      </c>
      <c r="H46" s="15" cm="1">
        <f t="array" aca="1" ref="H46" ca="1">_xll.BDP(A46&amp;" Govt","YAS_BOND_YLD","YAS_BOND_PX",G46,"SETTLE_DT",$A$4)</f>
        <v>2.1299429999999999</v>
      </c>
      <c r="I46" s="11"/>
      <c r="J46" s="11" t="str">
        <f>+VLOOKUP(A46,mapping!$A:$B,2,FALSE)</f>
        <v>912810QN1</v>
      </c>
      <c r="K46" s="11" cm="1">
        <f t="array" ref="K46">_xll.BDP(J46&amp;" Govt","COUPON")</f>
        <v>4.75</v>
      </c>
      <c r="L46" s="17" cm="1">
        <f t="array" ref="L46">DATEVALUE(_xll.BDP(J46&amp;" Govt","MATURITY"))</f>
        <v>51547</v>
      </c>
      <c r="M46" s="15" cm="1">
        <f t="array" aca="1" ref="M46" ca="1">_xll.BDH(J46&amp;"@BVN4 CUSIP","PX_MID",$A$1,$A$1)</f>
        <v>102.84375</v>
      </c>
      <c r="N46" s="15" t="str">
        <f t="shared" ca="1" si="14"/>
        <v>102-270</v>
      </c>
      <c r="O46" s="15" cm="1">
        <f t="array" aca="1" ref="O46" ca="1">_xll.BDP(J46&amp;" Govt","YAS_BOND_YLD","YAS_BOND_PX",M46,"SETTLE_DT",$A$2)</f>
        <v>4.4973190000000001</v>
      </c>
      <c r="P46" s="15" cm="1">
        <f t="array" aca="1" ref="P46" ca="1">_xll.BDP(J46&amp;" Govt","REPO_FORWARD_PRICE","REPO_TERM_DATE",$A$4,"PX_ASK="&amp;M46,"SETTLE_DT",$A$2,"REPO_REPORATE="&amp;$A$5)</f>
        <v>102.84307101656019</v>
      </c>
      <c r="Q46" s="15" cm="1">
        <f t="array" aca="1" ref="Q46" ca="1">_xll.BDP(J46&amp;" Govt","YAS_BOND_YLD","YAS_BOND_PX",P46,"SETTLE_DT",$A$4)</f>
        <v>4.4973409999999996</v>
      </c>
      <c r="R46" s="11"/>
      <c r="S46" s="22">
        <f t="shared" ca="1" si="15"/>
        <v>236.84600000000003</v>
      </c>
      <c r="T46" s="22">
        <f t="shared" ca="1" si="16"/>
        <v>236.73979999999997</v>
      </c>
      <c r="U46" s="15" cm="1">
        <f t="array" ref="U46">_xll.BDP($A46&amp;" Govt","BASE_CPI")</f>
        <v>218.99100000000001</v>
      </c>
      <c r="V46" s="15">
        <f t="shared" ca="1" si="17"/>
        <v>1.44848</v>
      </c>
      <c r="W46" s="14" cm="1">
        <f t="array" ref="W46">_xll.BDP($A46&amp;" Govt","YAS_RISK","YIELD_BETA_ASSUMPTION=1",)</f>
        <v>19.434129228446203</v>
      </c>
      <c r="X46" s="15">
        <f t="shared" ca="1" si="18"/>
        <v>0.23484405145722614</v>
      </c>
      <c r="Y46" s="15">
        <f t="shared" ca="1" si="51"/>
        <v>8.0591433138576307E-2</v>
      </c>
      <c r="Z46" s="15">
        <f t="shared" ca="1" si="52"/>
        <v>-2.4944967400034653E-2</v>
      </c>
      <c r="AA46" s="14">
        <f t="shared" ca="1" si="53"/>
        <v>32.629673465016118</v>
      </c>
      <c r="AB46" s="15" cm="1">
        <f t="array" ref="AB46">_xll.BDP(J46&amp;" Govt","YLD_YTM_MID")</f>
        <v>4.5109492496962842</v>
      </c>
      <c r="AC46" s="19">
        <v>0.75</v>
      </c>
      <c r="AD46" s="14">
        <f t="shared" ca="1" si="54"/>
        <v>0.34020624240711506</v>
      </c>
      <c r="AE46" s="22">
        <f t="shared" ca="1" si="55"/>
        <v>237.05506127500703</v>
      </c>
      <c r="AF46" s="22" cm="1">
        <f t="array" ref="AF46">(AB46-_xll.BDP(A46&amp;" Govt","YLD_YTM_MID"))*100</f>
        <v>238.60171637035737</v>
      </c>
      <c r="AG46" s="22">
        <f t="shared" ca="1" si="6"/>
        <v>1.5466550953503315</v>
      </c>
      <c r="AI46" s="12">
        <v>7</v>
      </c>
      <c r="AJ46" s="12">
        <v>7</v>
      </c>
      <c r="AL46" s="13">
        <v>0</v>
      </c>
      <c r="AM46" s="13">
        <v>0</v>
      </c>
      <c r="AO46" s="14">
        <f t="shared" ca="1" si="19"/>
        <v>1.6304049246323407</v>
      </c>
      <c r="AP46" s="14">
        <f t="shared" ca="1" si="19"/>
        <v>1.6304049246323407</v>
      </c>
      <c r="AR46" s="5">
        <f t="shared" ca="1" si="7"/>
        <v>2.1567026861925371</v>
      </c>
      <c r="AS46" s="5">
        <f t="shared" ca="1" si="8"/>
        <v>2.1240945876998905</v>
      </c>
      <c r="AT46" cm="1">
        <f t="array" aca="1" ref="AT46" ca="1">_xll.BDP($A46&amp;" Govt","YAS_BOND_PX","YAS_BOND_YLD",AR46,"SETTLE_DT",$A$4)</f>
        <v>99.574351624468775</v>
      </c>
      <c r="AU46" cm="1">
        <f t="array" aca="1" ref="AU46" ca="1">_xll.BDP($A46&amp;" Govt","YAS_BOND_PX","YAS_BOND_YLD",AS46,"SETTLE_DT",$A$4)</f>
        <v>100.01122973982335</v>
      </c>
      <c r="AV46" s="15" t="str">
        <f t="shared" ca="1" si="9"/>
        <v>99-183</v>
      </c>
      <c r="AW46" s="15" t="str">
        <f t="shared" ca="1" si="10"/>
        <v>100-003</v>
      </c>
      <c r="AY46" cm="1">
        <f t="array" ref="AY46">_xll.BDP($A46&amp;" Govt","CBBT_PX_BID")</f>
        <v>99.8515625</v>
      </c>
      <c r="AZ46" cm="1">
        <f t="array" ref="AZ46">_xll.BDP($A46&amp;" Govt","CBBT_PX_ASK")</f>
        <v>100.1484375</v>
      </c>
      <c r="BA46">
        <f t="shared" si="20"/>
        <v>100</v>
      </c>
      <c r="BB46" cm="1">
        <f t="array" aca="1" ref="BB46" ca="1">_xll.BDP(A46&amp;" Govt","YAS_BOND_YLD","YAS_BOND_PX",BA46,"SETTLE_DT",$A$4)</f>
        <v>2.1249310000000001</v>
      </c>
      <c r="BC46" s="15" t="str">
        <f t="shared" si="21"/>
        <v>99-272</v>
      </c>
      <c r="BD46" s="15" t="str">
        <f t="shared" si="22"/>
        <v>100-046</v>
      </c>
      <c r="BF46" s="4">
        <f t="shared" ca="1" si="23"/>
        <v>99.574351624468775</v>
      </c>
      <c r="BG46" s="4">
        <f t="shared" ca="1" si="24"/>
        <v>100.1484375</v>
      </c>
      <c r="BH46" s="26">
        <f t="shared" si="25"/>
        <v>2.125</v>
      </c>
      <c r="BI46" s="17">
        <f t="shared" si="26"/>
        <v>51547</v>
      </c>
      <c r="BJ46" s="34" t="str">
        <f t="shared" ca="1" si="27"/>
        <v>99-183</v>
      </c>
      <c r="BK46" s="35" t="str">
        <f t="shared" ca="1" si="28"/>
        <v>100-046</v>
      </c>
      <c r="BL46" s="18">
        <v>100</v>
      </c>
      <c r="BM46" s="19"/>
      <c r="BN46" s="11" t="s">
        <v>155</v>
      </c>
      <c r="BO46" s="14">
        <f t="shared" ca="1" si="58"/>
        <v>9.0329480166916234</v>
      </c>
      <c r="BP46" s="14">
        <f t="shared" ca="1" si="59"/>
        <v>23.060412385380769</v>
      </c>
      <c r="BQ46" s="11" t="s">
        <v>156</v>
      </c>
      <c r="BR46" s="14">
        <f t="shared" ca="1" si="60"/>
        <v>21.561613305015289</v>
      </c>
      <c r="BS46" s="14">
        <f t="shared" ca="1" si="61"/>
        <v>22.779518350049731</v>
      </c>
      <c r="BT46" s="14">
        <f t="shared" ca="1" si="62"/>
        <v>89.49911654039721</v>
      </c>
      <c r="BU46" s="21">
        <f t="shared" si="63"/>
        <v>100</v>
      </c>
      <c r="BV46" s="14">
        <f t="shared" ca="1" si="64"/>
        <v>52.638549794017003</v>
      </c>
      <c r="BW46" s="16">
        <f t="shared" ca="1" si="65"/>
        <v>0.41599027038777692</v>
      </c>
      <c r="BX46" s="16">
        <f t="shared" ca="1" si="66"/>
        <v>0.58400972961222308</v>
      </c>
      <c r="BY46" s="11"/>
      <c r="BZ46" s="11" t="str">
        <f t="shared" si="31"/>
        <v>CT10</v>
      </c>
      <c r="CA46" s="11" t="str">
        <f t="shared" si="32"/>
        <v>CT30</v>
      </c>
      <c r="CB46" s="21">
        <f t="shared" ca="1" si="56"/>
        <v>74.477561289781704</v>
      </c>
      <c r="CC46" s="21">
        <f t="shared" ca="1" si="57"/>
        <v>52.579705191260842</v>
      </c>
    </row>
    <row r="47" spans="1:81" x14ac:dyDescent="0.25">
      <c r="A47" s="19" t="s">
        <v>87</v>
      </c>
      <c r="B47" s="11" cm="1">
        <f t="array" ref="B47">_xll.BDP(A47&amp;" Govt","COUPON")</f>
        <v>0.75</v>
      </c>
      <c r="C47" s="17" cm="1">
        <f t="array" ref="C47">DATEVALUE(_xll.BDP(A47&amp;" Govt","MATURITY"))</f>
        <v>51912</v>
      </c>
      <c r="D47" s="15" cm="1">
        <f t="array" aca="1" ref="D47" ca="1">_xll.BDH(A47&amp;"@BVN4 CUSIP","PX_MID",$A$1,$A$1)</f>
        <v>79.5</v>
      </c>
      <c r="E47" s="15" t="str">
        <f t="shared" ca="1" si="13"/>
        <v>79-160</v>
      </c>
      <c r="F47" s="15" cm="1">
        <f t="array" aca="1" ref="F47" ca="1">_xll.BDP(A47&amp;" Govt","YAS_BOND_YLD","YAS_BOND_PX",D47,"SETTLE_DT",$A$2)</f>
        <v>2.2104050000000002</v>
      </c>
      <c r="G47" s="15" cm="1">
        <f t="array" aca="1" ref="G47" ca="1">_xll.BDP(A47&amp;" Govt","REPO_FORWARD_PRICE","REPO_TERM_DATE",$A$4,"PX_ASK="&amp;D47,"SETTLE_DT",$A$2,"REPO_REPORATE="&amp;$A$5)</f>
        <v>79.491069437356842</v>
      </c>
      <c r="H47" s="15" cm="1">
        <f t="array" aca="1" ref="H47" ca="1">_xll.BDP(A47&amp;" Govt","YAS_BOND_YLD","YAS_BOND_PX",G47,"SETTLE_DT",$A$4)</f>
        <v>2.2113499999999999</v>
      </c>
      <c r="I47" s="11"/>
      <c r="J47" s="11" t="str">
        <f>+VLOOKUP(A47,mapping!$A:$B,2,FALSE)</f>
        <v>912810QU5</v>
      </c>
      <c r="K47" s="11" cm="1">
        <f t="array" ref="K47">_xll.BDP(J47&amp;" Govt","COUPON")</f>
        <v>3.125</v>
      </c>
      <c r="L47" s="17" cm="1">
        <f t="array" ref="L47">DATEVALUE(_xll.BDP(J47&amp;" Govt","MATURITY"))</f>
        <v>51912</v>
      </c>
      <c r="M47" s="15" cm="1">
        <f t="array" aca="1" ref="M47" ca="1">_xll.BDH(J47&amp;"@BVN4 CUSIP","PX_MID",$A$1,$A$1)</f>
        <v>83.1171875</v>
      </c>
      <c r="N47" s="15" t="str">
        <f t="shared" ca="1" si="14"/>
        <v>83-036</v>
      </c>
      <c r="O47" s="15" cm="1">
        <f t="array" aca="1" ref="O47" ca="1">_xll.BDP(J47&amp;" Govt","YAS_BOND_YLD","YAS_BOND_PX",M47,"SETTLE_DT",$A$2)</f>
        <v>4.5695899999999998</v>
      </c>
      <c r="P47" s="15" cm="1">
        <f t="array" aca="1" ref="P47" ca="1">_xll.BDP(J47&amp;" Govt","REPO_FORWARD_PRICE","REPO_TERM_DATE",$A$4,"PX_ASK="&amp;M47,"SETTLE_DT",$A$2,"REPO_REPORATE="&amp;$A$5)</f>
        <v>83.118602059791513</v>
      </c>
      <c r="Q47" s="15" cm="1">
        <f t="array" aca="1" ref="Q47" ca="1">_xll.BDP(J47&amp;" Govt","YAS_BOND_YLD","YAS_BOND_PX",P47,"SETTLE_DT",$A$4)</f>
        <v>4.5696250000000003</v>
      </c>
      <c r="R47" s="11"/>
      <c r="S47" s="22">
        <f t="shared" ca="1" si="15"/>
        <v>235.91849999999997</v>
      </c>
      <c r="T47" s="22">
        <f t="shared" ca="1" si="16"/>
        <v>235.82750000000004</v>
      </c>
      <c r="U47" s="15" cm="1">
        <f t="array" ref="U47">_xll.BDP($A47&amp;" Govt","BASE_CPI")</f>
        <v>225.96062000000001</v>
      </c>
      <c r="V47" s="15">
        <f t="shared" ca="1" si="17"/>
        <v>1.4037999999999999</v>
      </c>
      <c r="W47" s="14" cm="1">
        <f t="array" ref="W47">_xll.BDP($A47&amp;" Govt","YAS_RISK","YIELD_BETA_ASSUMPTION=1",)</f>
        <v>17.368376670783068</v>
      </c>
      <c r="X47" s="15">
        <f t="shared" ca="1" si="18"/>
        <v>0.20257000638839312</v>
      </c>
      <c r="Y47" s="15">
        <f t="shared" ca="1" si="51"/>
        <v>6.9515949092304866E-2</v>
      </c>
      <c r="Z47" s="15">
        <f t="shared" ca="1" si="52"/>
        <v>-2.1516841385712658E-2</v>
      </c>
      <c r="AA47" s="14">
        <f t="shared" ca="1" si="53"/>
        <v>25.153733092961065</v>
      </c>
      <c r="AB47" s="15" cm="1">
        <f t="array" ref="AB47">_xll.BDP(J47&amp;" Govt","YLD_YTM_MID")</f>
        <v>4.5823416507028316</v>
      </c>
      <c r="AC47" s="19">
        <v>0.75</v>
      </c>
      <c r="AD47" s="14">
        <f t="shared" ca="1" si="54"/>
        <v>0.31791626757078362</v>
      </c>
      <c r="AE47" s="22">
        <f t="shared" ca="1" si="55"/>
        <v>236.12389942618512</v>
      </c>
      <c r="AF47" s="22" cm="1">
        <f t="array" ref="AF47">(AB47-_xll.BDP(A47&amp;" Govt","YLD_YTM_MID"))*100</f>
        <v>237.28827706603477</v>
      </c>
      <c r="AG47" s="22">
        <f t="shared" ca="1" si="6"/>
        <v>1.164377639849647</v>
      </c>
      <c r="AI47" s="12">
        <v>7</v>
      </c>
      <c r="AJ47" s="12">
        <v>7</v>
      </c>
      <c r="AL47" s="13">
        <v>0</v>
      </c>
      <c r="AM47" s="13">
        <v>0</v>
      </c>
      <c r="AO47" s="14">
        <f t="shared" ca="1" si="19"/>
        <v>1.768048078532114</v>
      </c>
      <c r="AP47" s="14">
        <f t="shared" ca="1" si="19"/>
        <v>1.768048078532114</v>
      </c>
      <c r="AR47" s="5">
        <f t="shared" ca="1" si="7"/>
        <v>2.2387831372263016</v>
      </c>
      <c r="AS47" s="5">
        <f t="shared" ca="1" si="8"/>
        <v>2.2034221756556591</v>
      </c>
      <c r="AT47" cm="1">
        <f t="array" aca="1" ref="AT47" ca="1">_xll.BDP($A47&amp;" Govt","YAS_BOND_PX","YAS_BOND_YLD",AR47,"SETTLE_DT",$A$4)</f>
        <v>79.152347632019001</v>
      </c>
      <c r="AU47" cm="1">
        <f t="array" aca="1" ref="AU47" ca="1">_xll.BDP($A47&amp;" Govt","YAS_BOND_PX","YAS_BOND_YLD",AS47,"SETTLE_DT",$A$4)</f>
        <v>79.589248215548494</v>
      </c>
      <c r="AV47" s="15" t="str">
        <f t="shared" ca="1" si="9"/>
        <v>79-047</v>
      </c>
      <c r="AW47" s="15" t="str">
        <f t="shared" ca="1" si="10"/>
        <v>79-187</v>
      </c>
      <c r="AY47" cm="1">
        <f t="array" ref="AY47">_xll.BDP($A47&amp;" Govt","CBBT_PX_BID")</f>
        <v>79.375</v>
      </c>
      <c r="AZ47" cm="1">
        <f t="array" ref="AZ47">_xll.BDP($A47&amp;" Govt","CBBT_PX_ASK")</f>
        <v>79.6484375</v>
      </c>
      <c r="BA47">
        <f t="shared" si="20"/>
        <v>79.51171875</v>
      </c>
      <c r="BB47" cm="1">
        <f t="array" aca="1" ref="BB47" ca="1">_xll.BDP(A47&amp;" Govt","YAS_BOND_YLD","YAS_BOND_PX",BA47,"SETTLE_DT",$A$4)</f>
        <v>2.2096819999999999</v>
      </c>
      <c r="BC47" s="15" t="str">
        <f t="shared" si="21"/>
        <v>79-120</v>
      </c>
      <c r="BD47" s="15" t="str">
        <f t="shared" si="22"/>
        <v>79-206</v>
      </c>
      <c r="BF47" s="4">
        <f t="shared" ca="1" si="23"/>
        <v>79.152347632019001</v>
      </c>
      <c r="BG47" s="4">
        <f t="shared" ca="1" si="24"/>
        <v>79.6484375</v>
      </c>
      <c r="BH47" s="26">
        <f t="shared" si="25"/>
        <v>0.75</v>
      </c>
      <c r="BI47" s="17">
        <f t="shared" si="26"/>
        <v>51912</v>
      </c>
      <c r="BJ47" s="34" t="str">
        <f t="shared" ca="1" si="27"/>
        <v>79-047</v>
      </c>
      <c r="BK47" s="35" t="str">
        <f t="shared" ca="1" si="28"/>
        <v>79-206</v>
      </c>
      <c r="BL47" s="18">
        <v>100</v>
      </c>
      <c r="BM47" s="19"/>
      <c r="BN47" s="11" t="s">
        <v>155</v>
      </c>
      <c r="BO47" s="14">
        <f t="shared" ca="1" si="58"/>
        <v>9.0329480166916234</v>
      </c>
      <c r="BP47" s="14">
        <f t="shared" ca="1" si="59"/>
        <v>23.060412385380769</v>
      </c>
      <c r="BQ47" s="11" t="s">
        <v>156</v>
      </c>
      <c r="BR47" s="14">
        <f t="shared" ca="1" si="60"/>
        <v>21.561613305015289</v>
      </c>
      <c r="BS47" s="14">
        <f t="shared" ca="1" si="61"/>
        <v>22.779518350049731</v>
      </c>
      <c r="BT47" s="14">
        <f t="shared" ca="1" si="62"/>
        <v>50.337984061907619</v>
      </c>
      <c r="BU47" s="21">
        <f t="shared" si="63"/>
        <v>100</v>
      </c>
      <c r="BV47" s="14">
        <f t="shared" ca="1" si="64"/>
        <v>59.463884063063837</v>
      </c>
      <c r="BW47" s="16">
        <f t="shared" ca="1" si="65"/>
        <v>0.26179786511721387</v>
      </c>
      <c r="BX47" s="16">
        <f t="shared" ca="1" si="66"/>
        <v>0.73820213488278608</v>
      </c>
      <c r="BY47" s="11"/>
      <c r="BZ47" s="11" t="str">
        <f t="shared" si="31"/>
        <v>CT10</v>
      </c>
      <c r="CA47" s="11" t="str">
        <f t="shared" si="32"/>
        <v>CT30</v>
      </c>
      <c r="CB47" s="21">
        <f t="shared" ca="1" si="56"/>
        <v>41.889243582450014</v>
      </c>
      <c r="CC47" s="21">
        <f t="shared" ca="1" si="57"/>
        <v>59.397409423285154</v>
      </c>
    </row>
    <row r="48" spans="1:81" x14ac:dyDescent="0.25">
      <c r="A48" s="19" t="s">
        <v>85</v>
      </c>
      <c r="B48" s="11" cm="1">
        <f t="array" ref="B48">_xll.BDP(A48&amp;" Govt","COUPON")</f>
        <v>0.625</v>
      </c>
      <c r="C48" s="17" cm="1">
        <f t="array" ref="C48">DATEVALUE(_xll.BDP(A48&amp;" Govt","MATURITY"))</f>
        <v>52277</v>
      </c>
      <c r="D48" s="15" cm="1">
        <f t="array" aca="1" ref="D48" ca="1">_xll.BDH(A48&amp;"@BVN4 CUSIP","PX_MID",$A$1,$A$1)</f>
        <v>76.095703125</v>
      </c>
      <c r="E48" s="15" t="str">
        <f t="shared" ca="1" si="13"/>
        <v>76-031</v>
      </c>
      <c r="F48" s="15" cm="1">
        <f t="array" aca="1" ref="F48" ca="1">_xll.BDP(A48&amp;" Govt","YAS_BOND_YLD","YAS_BOND_PX",D48,"SETTLE_DT",$A$2)</f>
        <v>2.2556929999999999</v>
      </c>
      <c r="G48" s="15" cm="1">
        <f t="array" aca="1" ref="G48" ca="1">_xll.BDP(A48&amp;" Govt","REPO_FORWARD_PRICE","REPO_TERM_DATE",$A$4,"PX_ASK="&amp;D48,"SETTLE_DT",$A$2,"REPO_REPORATE="&amp;$A$5)</f>
        <v>76.087137298889104</v>
      </c>
      <c r="H48" s="15" cm="1">
        <f t="array" aca="1" ref="H48" ca="1">_xll.BDP(A48&amp;" Govt","YAS_BOND_YLD","YAS_BOND_PX",G48,"SETTLE_DT",$A$4)</f>
        <v>2.2566090000000001</v>
      </c>
      <c r="I48" s="11"/>
      <c r="J48" s="11" t="str">
        <f>+VLOOKUP(A48,mapping!$A:$B,2,FALSE)</f>
        <v>912810QZ4</v>
      </c>
      <c r="K48" s="11" cm="1">
        <f t="array" ref="K48">_xll.BDP(J48&amp;" Govt","COUPON")</f>
        <v>3.125</v>
      </c>
      <c r="L48" s="17" cm="1">
        <f t="array" ref="L48">DATEVALUE(_xll.BDP(J48&amp;" Govt","MATURITY"))</f>
        <v>52277</v>
      </c>
      <c r="M48" s="15" cm="1">
        <f t="array" aca="1" ref="M48" ca="1">_xll.BDH(J48&amp;"@BVN4 CUSIP","PX_MID",$A$1,$A$1)</f>
        <v>81.9375</v>
      </c>
      <c r="N48" s="15" t="str">
        <f t="shared" ca="1" si="14"/>
        <v>81-300</v>
      </c>
      <c r="O48" s="15" cm="1">
        <f t="array" aca="1" ref="O48" ca="1">_xll.BDP(J48&amp;" Govt","YAS_BOND_YLD","YAS_BOND_PX",M48,"SETTLE_DT",$A$2)</f>
        <v>4.6189169999999997</v>
      </c>
      <c r="P48" s="15" cm="1">
        <f t="array" aca="1" ref="P48" ca="1">_xll.BDP(J48&amp;" Govt","REPO_FORWARD_PRICE","REPO_TERM_DATE",$A$4,"PX_ASK="&amp;M48,"SETTLE_DT",$A$2,"REPO_REPORATE="&amp;$A$5)</f>
        <v>81.938772505755054</v>
      </c>
      <c r="Q48" s="15" cm="1">
        <f t="array" aca="1" ref="Q48" ca="1">_xll.BDP(J48&amp;" Govt","YAS_BOND_YLD","YAS_BOND_PX",P48,"SETTLE_DT",$A$4)</f>
        <v>4.6189609999999997</v>
      </c>
      <c r="R48" s="11"/>
      <c r="S48" s="22">
        <f t="shared" ca="1" si="15"/>
        <v>236.32239999999999</v>
      </c>
      <c r="T48" s="22">
        <f t="shared" ca="1" si="16"/>
        <v>236.23519999999996</v>
      </c>
      <c r="U48" s="15" cm="1">
        <f t="array" ref="U48">_xll.BDP($A48&amp;" Govt","BASE_CPI")</f>
        <v>229.911</v>
      </c>
      <c r="V48" s="15">
        <f t="shared" ca="1" si="17"/>
        <v>1.37968</v>
      </c>
      <c r="W48" s="14" cm="1">
        <f t="array" ref="W48">_xll.BDP($A48&amp;" Govt","YAS_RISK","YIELD_BETA_ASSUMPTION=1",)</f>
        <v>17.424472354172103</v>
      </c>
      <c r="X48" s="15">
        <f t="shared" ca="1" si="18"/>
        <v>0.1899506343095281</v>
      </c>
      <c r="Y48" s="15">
        <f t="shared" ca="1" si="51"/>
        <v>6.5185359176000768E-2</v>
      </c>
      <c r="Z48" s="15">
        <f t="shared" ca="1" si="52"/>
        <v>-2.0176420697332866E-2</v>
      </c>
      <c r="AA48" s="14">
        <f t="shared" ca="1" si="53"/>
        <v>23.662926851229255</v>
      </c>
      <c r="AB48" s="15" cm="1">
        <f t="array" ref="AB48">_xll.BDP(J48&amp;" Govt","YLD_YTM_MID")</f>
        <v>4.6335667789920612</v>
      </c>
      <c r="AC48" s="19">
        <v>0.75</v>
      </c>
      <c r="AD48" s="14">
        <f t="shared" ca="1" si="54"/>
        <v>0.36514447480153756</v>
      </c>
      <c r="AE48" s="22">
        <f t="shared" ca="1" si="55"/>
        <v>236.58016805410415</v>
      </c>
      <c r="AF48" s="22" cm="1">
        <f t="array" ref="AF48">(AB48-_xll.BDP(A48&amp;" Govt","YLD_YTM_MID"))*100</f>
        <v>238.32850475020834</v>
      </c>
      <c r="AG48" s="22">
        <f t="shared" ca="1" si="6"/>
        <v>1.7483366961041895</v>
      </c>
      <c r="AI48" s="12">
        <v>6</v>
      </c>
      <c r="AJ48" s="12">
        <v>6</v>
      </c>
      <c r="AL48" s="13">
        <v>0</v>
      </c>
      <c r="AM48" s="13">
        <v>0</v>
      </c>
      <c r="AO48" s="14">
        <f t="shared" ca="1" si="19"/>
        <v>1.4846360609482641</v>
      </c>
      <c r="AP48" s="14">
        <f t="shared" ca="1" si="19"/>
        <v>1.4846360609482641</v>
      </c>
      <c r="AR48" s="5">
        <f t="shared" ca="1" si="7"/>
        <v>2.2826114590605022</v>
      </c>
      <c r="AS48" s="5">
        <f t="shared" ca="1" si="8"/>
        <v>2.252918737841537</v>
      </c>
      <c r="AT48" cm="1">
        <f t="array" aca="1" ref="AT48" ca="1">_xll.BDP($A48&amp;" Govt","YAS_BOND_PX","YAS_BOND_YLD",AR48,"SETTLE_DT",$A$4)</f>
        <v>75.759688548724753</v>
      </c>
      <c r="AU48" cm="1">
        <f t="array" aca="1" ref="AU48" ca="1">_xll.BDP($A48&amp;" Govt","YAS_BOND_PX","YAS_BOND_YLD",AS48,"SETTLE_DT",$A$4)</f>
        <v>76.133733567693781</v>
      </c>
      <c r="AV48" s="15" t="str">
        <f t="shared" ca="1" si="9"/>
        <v>75-242</v>
      </c>
      <c r="AW48" s="15" t="str">
        <f t="shared" ca="1" si="10"/>
        <v>76-042</v>
      </c>
      <c r="AY48" cm="1">
        <f t="array" ref="AY48">_xll.BDP($A48&amp;" Govt","CBBT_PX_BID")</f>
        <v>76.03125</v>
      </c>
      <c r="AZ48" cm="1">
        <f t="array" ref="AZ48">_xll.BDP($A48&amp;" Govt","CBBT_PX_ASK")</f>
        <v>76.296875</v>
      </c>
      <c r="BA48">
        <f t="shared" si="20"/>
        <v>76.1640625</v>
      </c>
      <c r="BB48" cm="1">
        <f t="array" aca="1" ref="BB48" ca="1">_xll.BDP(A48&amp;" Govt","YAS_BOND_YLD","YAS_BOND_PX",BA48,"SETTLE_DT",$A$4)</f>
        <v>2.250518</v>
      </c>
      <c r="BC48" s="15" t="str">
        <f t="shared" si="21"/>
        <v>76-010</v>
      </c>
      <c r="BD48" s="15" t="str">
        <f t="shared" si="22"/>
        <v>76-094</v>
      </c>
      <c r="BF48" s="4">
        <f t="shared" ca="1" si="23"/>
        <v>75.759688548724753</v>
      </c>
      <c r="BG48" s="4">
        <f t="shared" ca="1" si="24"/>
        <v>76.296875</v>
      </c>
      <c r="BH48" s="26">
        <f t="shared" si="25"/>
        <v>0.625</v>
      </c>
      <c r="BI48" s="17">
        <f t="shared" si="26"/>
        <v>52277</v>
      </c>
      <c r="BJ48" s="34" t="str">
        <f t="shared" ca="1" si="27"/>
        <v>75-242</v>
      </c>
      <c r="BK48" s="35" t="str">
        <f t="shared" ca="1" si="28"/>
        <v>76-094</v>
      </c>
      <c r="BL48" s="18">
        <v>100</v>
      </c>
      <c r="BM48" s="19"/>
      <c r="BN48" s="11" t="s">
        <v>155</v>
      </c>
      <c r="BO48" s="14">
        <f t="shared" ca="1" si="58"/>
        <v>9.0329480166916234</v>
      </c>
      <c r="BP48" s="14">
        <f t="shared" ca="1" si="59"/>
        <v>23.060412385380769</v>
      </c>
      <c r="BQ48" s="11" t="s">
        <v>156</v>
      </c>
      <c r="BR48" s="14">
        <f t="shared" ca="1" si="60"/>
        <v>21.561613305015289</v>
      </c>
      <c r="BS48" s="14">
        <f t="shared" ca="1" si="61"/>
        <v>22.779518350049731</v>
      </c>
      <c r="BT48" s="14">
        <f t="shared" ca="1" si="62"/>
        <v>38.870624239212397</v>
      </c>
      <c r="BU48" s="21">
        <f t="shared" si="63"/>
        <v>100</v>
      </c>
      <c r="BV48" s="14">
        <f t="shared" ca="1" si="64"/>
        <v>64.52814488442867</v>
      </c>
      <c r="BW48" s="16">
        <f t="shared" ca="1" si="65"/>
        <v>0.20150758140179087</v>
      </c>
      <c r="BX48" s="16">
        <f t="shared" ca="1" si="66"/>
        <v>0.79849241859820919</v>
      </c>
      <c r="BY48" s="11"/>
      <c r="BZ48" s="11" t="str">
        <f t="shared" si="31"/>
        <v>CT10</v>
      </c>
      <c r="CA48" s="11" t="str">
        <f t="shared" si="32"/>
        <v>CT30</v>
      </c>
      <c r="CB48" s="21">
        <f t="shared" ca="1" si="56"/>
        <v>32.346568447313174</v>
      </c>
      <c r="CC48" s="21">
        <f t="shared" ca="1" si="57"/>
        <v>64.456008910562105</v>
      </c>
    </row>
    <row r="49" spans="1:81" x14ac:dyDescent="0.25">
      <c r="A49" s="19" t="s">
        <v>83</v>
      </c>
      <c r="B49" s="11" cm="1">
        <f t="array" ref="B49">_xll.BDP(A49&amp;" Govt","COUPON")</f>
        <v>1.375</v>
      </c>
      <c r="C49" s="17" cm="1">
        <f t="array" ref="C49">DATEVALUE(_xll.BDP(A49&amp;" Govt","MATURITY"))</f>
        <v>52642</v>
      </c>
      <c r="D49" s="15" cm="1">
        <f t="array" aca="1" ref="D49" ca="1">_xll.BDH(A49&amp;"@BVN4 CUSIP","PX_MID",$A$1,$A$1)</f>
        <v>86.2265625</v>
      </c>
      <c r="E49" s="15" t="str">
        <f t="shared" ca="1" si="13"/>
        <v>86-072</v>
      </c>
      <c r="F49" s="15" cm="1">
        <f t="array" aca="1" ref="F49" ca="1">_xll.BDP(A49&amp;" Govt","YAS_BOND_YLD","YAS_BOND_PX",D49,"SETTLE_DT",$A$2)</f>
        <v>2.275801</v>
      </c>
      <c r="G49" s="15" cm="1">
        <f t="array" aca="1" ref="G49" ca="1">_xll.BDP(A49&amp;" Govt","REPO_FORWARD_PRICE","REPO_TERM_DATE",$A$4,"PX_ASK="&amp;D49,"SETTLE_DT",$A$2,"REPO_REPORATE="&amp;$A$5)</f>
        <v>86.214759673389395</v>
      </c>
      <c r="H49" s="15" cm="1">
        <f t="array" aca="1" ref="H49" ca="1">_xll.BDP(A49&amp;" Govt","YAS_BOND_YLD","YAS_BOND_PX",G49,"SETTLE_DT",$A$4)</f>
        <v>2.2767539999999999</v>
      </c>
      <c r="I49" s="11"/>
      <c r="J49" s="11" t="str">
        <f>+VLOOKUP(A49,mapping!$A:$B,2,FALSE)</f>
        <v>912810RE0</v>
      </c>
      <c r="K49" s="11" cm="1">
        <f t="array" ref="K49">_xll.BDP(J49&amp;" Govt","COUPON")</f>
        <v>3.625</v>
      </c>
      <c r="L49" s="17" cm="1">
        <f t="array" ref="L49">DATEVALUE(_xll.BDP(J49&amp;" Govt","MATURITY"))</f>
        <v>52642</v>
      </c>
      <c r="M49" s="15" cm="1">
        <f t="array" aca="1" ref="M49" ca="1">_xll.BDH(J49&amp;"@BVN4 CUSIP","PX_MID",$A$1,$A$1)</f>
        <v>87.34375</v>
      </c>
      <c r="N49" s="15" t="str">
        <f t="shared" ca="1" si="14"/>
        <v>87-110</v>
      </c>
      <c r="O49" s="15" cm="1">
        <f t="array" aca="1" ref="O49" ca="1">_xll.BDP(J49&amp;" Govt","YAS_BOND_YLD","YAS_BOND_PX",M49,"SETTLE_DT",$A$2)</f>
        <v>4.6375089999999997</v>
      </c>
      <c r="P49" s="15" cm="1">
        <f t="array" aca="1" ref="P49" ca="1">_xll.BDP(J49&amp;" Govt","REPO_FORWARD_PRICE","REPO_TERM_DATE",$A$4,"PX_ASK="&amp;M49,"SETTLE_DT",$A$2,"REPO_REPORATE="&amp;$A$5)</f>
        <v>87.344298446780044</v>
      </c>
      <c r="Q49" s="15" cm="1">
        <f t="array" aca="1" ref="Q49" ca="1">_xll.BDP(J49&amp;" Govt","YAS_BOND_YLD","YAS_BOND_PX",P49,"SETTLE_DT",$A$4)</f>
        <v>4.637556</v>
      </c>
      <c r="R49" s="11"/>
      <c r="S49" s="22">
        <f t="shared" ca="1" si="15"/>
        <v>236.17079999999996</v>
      </c>
      <c r="T49" s="22">
        <f t="shared" ca="1" si="16"/>
        <v>236.08020000000002</v>
      </c>
      <c r="U49" s="15" cm="1">
        <f t="array" ref="U49">_xll.BDP($A49&amp;" Govt","BASE_CPI")</f>
        <v>233.059</v>
      </c>
      <c r="V49" s="15">
        <f t="shared" ca="1" si="17"/>
        <v>1.3610500000000001</v>
      </c>
      <c r="W49" s="14" cm="1">
        <f t="array" ref="W49">_xll.BDP($A49&amp;" Govt","YAS_RISK","YIELD_BETA_ASSUMPTION=1",)</f>
        <v>19.130870365083748</v>
      </c>
      <c r="X49" s="15">
        <f t="shared" ca="1" si="18"/>
        <v>0.19339287307192424</v>
      </c>
      <c r="Y49" s="15">
        <f t="shared" ca="1" si="51"/>
        <v>6.6366632252092245E-2</v>
      </c>
      <c r="Z49" s="15">
        <f t="shared" ca="1" si="52"/>
        <v>-2.0542052839932597E-2</v>
      </c>
      <c r="AA49" s="14">
        <f t="shared" ca="1" si="53"/>
        <v>26.451071628790892</v>
      </c>
      <c r="AB49" s="15" cm="1">
        <f t="array" ref="AB49">_xll.BDP(J49&amp;" Govt","YLD_YTM_MID")</f>
        <v>4.6518363000000003</v>
      </c>
      <c r="AC49" s="19">
        <v>0.75</v>
      </c>
      <c r="AD49" s="14">
        <f t="shared" ca="1" si="54"/>
        <v>0.35700750000000614</v>
      </c>
      <c r="AE49" s="22">
        <f t="shared" ca="1" si="55"/>
        <v>236.41666544716009</v>
      </c>
      <c r="AF49" s="22" cm="1">
        <f t="array" ref="AF49">(AB49-_xll.BDP(A49&amp;" Govt","YLD_YTM_MID"))*100</f>
        <v>237.96458165141848</v>
      </c>
      <c r="AG49" s="22">
        <f t="shared" ca="1" si="6"/>
        <v>1.5479162042583994</v>
      </c>
      <c r="AI49" s="12">
        <v>6</v>
      </c>
      <c r="AJ49" s="12">
        <v>6</v>
      </c>
      <c r="AL49" s="13">
        <v>0</v>
      </c>
      <c r="AM49" s="13">
        <v>0</v>
      </c>
      <c r="AO49" s="14">
        <f t="shared" ca="1" si="19"/>
        <v>1.3339532918782748</v>
      </c>
      <c r="AP49" s="14">
        <f t="shared" ca="1" si="19"/>
        <v>1.3339532918782748</v>
      </c>
      <c r="AR49" s="5">
        <f t="shared" ca="1" si="7"/>
        <v>2.301009178447182</v>
      </c>
      <c r="AS49" s="5">
        <f t="shared" ca="1" si="8"/>
        <v>2.2743301126096167</v>
      </c>
      <c r="AT49" cm="1">
        <f t="array" aca="1" ref="AT49" ca="1">_xll.BDP($A49&amp;" Govt","YAS_BOND_PX","YAS_BOND_YLD",AR49,"SETTLE_DT",$A$4)</f>
        <v>85.874579822319973</v>
      </c>
      <c r="AU49" cm="1">
        <f t="array" aca="1" ref="AU49" ca="1">_xll.BDP($A49&amp;" Govt","YAS_BOND_PX","YAS_BOND_YLD",AS49,"SETTLE_DT",$A$4)</f>
        <v>86.248844432197217</v>
      </c>
      <c r="AV49" s="15" t="str">
        <f t="shared" ca="1" si="9"/>
        <v>85-278</v>
      </c>
      <c r="AW49" s="15" t="str">
        <f t="shared" ca="1" si="10"/>
        <v>86-078</v>
      </c>
      <c r="AY49" cm="1">
        <f t="array" ref="AY49">_xll.BDP($A49&amp;" Govt","CBBT_PX_BID")</f>
        <v>86.1328125</v>
      </c>
      <c r="AZ49" cm="1">
        <f t="array" ref="AZ49">_xll.BDP($A49&amp;" Govt","CBBT_PX_ASK")</f>
        <v>86.421875</v>
      </c>
      <c r="BA49">
        <f t="shared" si="20"/>
        <v>86.27734375</v>
      </c>
      <c r="BB49" cm="1">
        <f t="array" aca="1" ref="BB49" ca="1">_xll.BDP(A49&amp;" Govt","YAS_BOND_YLD","YAS_BOND_PX",BA49,"SETTLE_DT",$A$4)</f>
        <v>2.2723040000000001</v>
      </c>
      <c r="BC49" s="15" t="str">
        <f t="shared" si="21"/>
        <v>86-042</v>
      </c>
      <c r="BD49" s="15" t="str">
        <f t="shared" si="22"/>
        <v>86-134</v>
      </c>
      <c r="BF49" s="4">
        <f t="shared" ca="1" si="23"/>
        <v>85.874579822319973</v>
      </c>
      <c r="BG49" s="4">
        <f t="shared" ca="1" si="24"/>
        <v>86.421875</v>
      </c>
      <c r="BH49" s="26">
        <f t="shared" si="25"/>
        <v>1.375</v>
      </c>
      <c r="BI49" s="17">
        <f t="shared" si="26"/>
        <v>52642</v>
      </c>
      <c r="BJ49" s="34" t="str">
        <f t="shared" ca="1" si="27"/>
        <v>85-278</v>
      </c>
      <c r="BK49" s="35" t="str">
        <f t="shared" ca="1" si="28"/>
        <v>86-134</v>
      </c>
      <c r="BL49" s="18">
        <v>100</v>
      </c>
      <c r="BM49" s="19"/>
      <c r="BN49" s="11" t="s">
        <v>155</v>
      </c>
      <c r="BO49" s="14">
        <f t="shared" ca="1" si="58"/>
        <v>9.0329480166916234</v>
      </c>
      <c r="BP49" s="14">
        <f t="shared" ca="1" si="59"/>
        <v>23.060412385380769</v>
      </c>
      <c r="BQ49" s="11" t="s">
        <v>156</v>
      </c>
      <c r="BR49" s="14">
        <f t="shared" ca="1" si="60"/>
        <v>21.561613305015289</v>
      </c>
      <c r="BS49" s="14">
        <f t="shared" ca="1" si="61"/>
        <v>22.779518350049731</v>
      </c>
      <c r="BT49" s="14">
        <f t="shared" ca="1" si="62"/>
        <v>46.160286398823636</v>
      </c>
      <c r="BU49" s="21">
        <f t="shared" si="63"/>
        <v>100</v>
      </c>
      <c r="BV49" s="14">
        <f t="shared" ca="1" si="64"/>
        <v>69.388294274074624</v>
      </c>
      <c r="BW49" s="16">
        <f t="shared" ca="1" si="65"/>
        <v>0.21795321358571446</v>
      </c>
      <c r="BX49" s="16">
        <f t="shared" ca="1" si="66"/>
        <v>0.78204678641428549</v>
      </c>
      <c r="BY49" s="11"/>
      <c r="BZ49" s="11" t="str">
        <f t="shared" si="31"/>
        <v>CT10</v>
      </c>
      <c r="CA49" s="11" t="str">
        <f t="shared" si="32"/>
        <v>CT30</v>
      </c>
      <c r="CB49" s="21">
        <f t="shared" ca="1" si="56"/>
        <v>38.41273179350879</v>
      </c>
      <c r="CC49" s="21">
        <f t="shared" ca="1" si="57"/>
        <v>69.310725142165325</v>
      </c>
    </row>
    <row r="50" spans="1:81" x14ac:dyDescent="0.25">
      <c r="A50" s="19" t="s">
        <v>81</v>
      </c>
      <c r="B50" s="11" cm="1">
        <f t="array" ref="B50">_xll.BDP(A50&amp;" Govt","COUPON")</f>
        <v>0.75</v>
      </c>
      <c r="C50" s="17" cm="1">
        <f t="array" ref="C50">DATEVALUE(_xll.BDP(A50&amp;" Govt","MATURITY"))</f>
        <v>53008</v>
      </c>
      <c r="D50" s="15" cm="1">
        <f t="array" aca="1" ref="D50" ca="1">_xll.BDH(A50&amp;"@BVN4 CUSIP","PX_MID",$A$1,$A$1)</f>
        <v>75.193359375</v>
      </c>
      <c r="E50" s="15" t="str">
        <f t="shared" ca="1" si="13"/>
        <v>75-062</v>
      </c>
      <c r="F50" s="15" cm="1">
        <f t="array" aca="1" ref="F50" ca="1">_xll.BDP(A50&amp;" Govt","YAS_BOND_YLD","YAS_BOND_PX",D50,"SETTLE_DT",$A$2)</f>
        <v>2.3124959999999999</v>
      </c>
      <c r="G50" s="15" cm="1">
        <f t="array" aca="1" ref="G50" ca="1">_xll.BDP(A50&amp;" Govt","REPO_FORWARD_PRICE","REPO_TERM_DATE",$A$4,"PX_ASK="&amp;D50,"SETTLE_DT",$A$2,"REPO_REPORATE="&amp;$A$5)</f>
        <v>75.184144840413438</v>
      </c>
      <c r="H50" s="15" cm="1">
        <f t="array" aca="1" ref="H50" ca="1">_xll.BDP(A50&amp;" Govt","YAS_BOND_YLD","YAS_BOND_PX",G50,"SETTLE_DT",$A$4)</f>
        <v>2.3133750000000002</v>
      </c>
      <c r="I50" s="11"/>
      <c r="J50" s="11" t="str">
        <f>+VLOOKUP(A50,mapping!$A:$B,2,FALSE)</f>
        <v>912810RK6</v>
      </c>
      <c r="K50" s="11" cm="1">
        <f t="array" ref="K50">_xll.BDP(J50&amp;" Govt","COUPON")</f>
        <v>2.5</v>
      </c>
      <c r="L50" s="17" cm="1">
        <f t="array" ref="L50">DATEVALUE(_xll.BDP(J50&amp;" Govt","MATURITY"))</f>
        <v>53008</v>
      </c>
      <c r="M50" s="15" cm="1">
        <f t="array" aca="1" ref="M50" ca="1">_xll.BDH(J50&amp;"@BVN4 CUSIP","PX_MID",$A$1,$A$1)</f>
        <v>72.03125</v>
      </c>
      <c r="N50" s="15" t="str">
        <f t="shared" ca="1" si="14"/>
        <v>72-010</v>
      </c>
      <c r="O50" s="15" cm="1">
        <f t="array" aca="1" ref="O50" ca="1">_xll.BDP(J50&amp;" Govt","YAS_BOND_YLD","YAS_BOND_PX",M50,"SETTLE_DT",$A$2)</f>
        <v>4.6742410000000003</v>
      </c>
      <c r="P50" s="15" cm="1">
        <f t="array" aca="1" ref="P50" ca="1">_xll.BDP(J50&amp;" Govt","REPO_FORWARD_PRICE","REPO_TERM_DATE",$A$4,"PX_ASK="&amp;M50,"SETTLE_DT",$A$2,"REPO_REPORATE="&amp;$A$5)</f>
        <v>72.033048455124884</v>
      </c>
      <c r="Q50" s="15" cm="1">
        <f t="array" aca="1" ref="Q50" ca="1">_xll.BDP(J50&amp;" Govt","YAS_BOND_YLD","YAS_BOND_PX",P50,"SETTLE_DT",$A$4)</f>
        <v>4.6742910000000002</v>
      </c>
      <c r="R50" s="11"/>
      <c r="S50" s="22">
        <f t="shared" ca="1" si="15"/>
        <v>236.17450000000005</v>
      </c>
      <c r="T50" s="22">
        <f t="shared" ca="1" si="16"/>
        <v>236.0916</v>
      </c>
      <c r="U50" s="15" cm="1">
        <f t="array" ref="U50">_xll.BDP($A50&amp;" Govt","BASE_CPI")</f>
        <v>235.48150000000001</v>
      </c>
      <c r="V50" s="15">
        <f t="shared" ca="1" si="17"/>
        <v>1.3470500000000001</v>
      </c>
      <c r="W50" s="14" cm="1">
        <f t="array" ref="W50">_xll.BDP($A50&amp;" Govt","YAS_RISK","YIELD_BETA_ASSUMPTION=1",)</f>
        <v>18.267795942250686</v>
      </c>
      <c r="X50" s="15">
        <f t="shared" ca="1" si="18"/>
        <v>0.17479803359658544</v>
      </c>
      <c r="Y50" s="15">
        <f t="shared" ca="1" si="51"/>
        <v>5.9985441189340231E-2</v>
      </c>
      <c r="Z50" s="15">
        <f t="shared" ca="1" si="52"/>
        <v>-1.8566922272890377E-2</v>
      </c>
      <c r="AA50" s="14">
        <f t="shared" ca="1" si="53"/>
        <v>22.829204149015553</v>
      </c>
      <c r="AB50" s="15" cm="1">
        <f t="array" ref="AB50">_xll.BDP(J50&amp;" Govt","YLD_YTM_MID")</f>
        <v>4.6876670999999996</v>
      </c>
      <c r="AC50" s="19">
        <v>0.75</v>
      </c>
      <c r="AD50" s="14">
        <f t="shared" ca="1" si="54"/>
        <v>0.33440249999998617</v>
      </c>
      <c r="AE50" s="22">
        <f t="shared" ca="1" si="55"/>
        <v>236.40743557772709</v>
      </c>
      <c r="AF50" s="22" cm="1">
        <f t="array" ref="AF50">(AB50-_xll.BDP(A50&amp;" Govt","YLD_YTM_MID"))*100</f>
        <v>237.93467557496916</v>
      </c>
      <c r="AG50" s="22">
        <f t="shared" ca="1" si="6"/>
        <v>1.5272399972420772</v>
      </c>
      <c r="AI50" s="12">
        <v>6</v>
      </c>
      <c r="AJ50" s="12">
        <v>6</v>
      </c>
      <c r="AL50" s="13">
        <v>0</v>
      </c>
      <c r="AM50" s="13">
        <v>0</v>
      </c>
      <c r="AO50" s="14">
        <f t="shared" ca="1" si="19"/>
        <v>1.3826072712791746</v>
      </c>
      <c r="AP50" s="14">
        <f t="shared" ca="1" si="19"/>
        <v>1.3826072712791746</v>
      </c>
      <c r="AR50" s="5">
        <f t="shared" ca="1" si="7"/>
        <v>2.3374188169355206</v>
      </c>
      <c r="AS50" s="5">
        <f t="shared" ca="1" si="8"/>
        <v>2.3097666715099372</v>
      </c>
      <c r="AT50" cm="1">
        <f t="array" aca="1" ref="AT50" ca="1">_xll.BDP($A50&amp;" Govt","YAS_BOND_PX","YAS_BOND_YLD",AR50,"SETTLE_DT",$A$4)</f>
        <v>74.858951435197554</v>
      </c>
      <c r="AU50" cm="1">
        <f t="array" aca="1" ref="AU50" ca="1">_xll.BDP($A50&amp;" Govt","YAS_BOND_PX","YAS_BOND_YLD",AS50,"SETTLE_DT",$A$4)</f>
        <v>75.233079707023336</v>
      </c>
      <c r="AV50" s="15" t="str">
        <f t="shared" ca="1" si="9"/>
        <v>74-274</v>
      </c>
      <c r="AW50" s="15" t="str">
        <f t="shared" ca="1" si="10"/>
        <v>75-074</v>
      </c>
      <c r="AY50" cm="1">
        <f t="array" ref="AY50">_xll.BDP($A50&amp;" Govt","CBBT_PX_BID")</f>
        <v>75.1171875</v>
      </c>
      <c r="AZ50" cm="1">
        <f t="array" ref="AZ50">_xll.BDP($A50&amp;" Govt","CBBT_PX_ASK")</f>
        <v>75.3828125</v>
      </c>
      <c r="BA50">
        <f t="shared" si="20"/>
        <v>75.25</v>
      </c>
      <c r="BB50" cm="1">
        <f t="array" aca="1" ref="BB50" ca="1">_xll.BDP(A50&amp;" Govt","YAS_BOND_YLD","YAS_BOND_PX",BA50,"SETTLE_DT",$A$4)</f>
        <v>2.3085200000000001</v>
      </c>
      <c r="BC50" s="15" t="str">
        <f t="shared" si="21"/>
        <v>75-036</v>
      </c>
      <c r="BD50" s="15" t="str">
        <f t="shared" si="22"/>
        <v>75-122</v>
      </c>
      <c r="BF50" s="4">
        <f t="shared" ca="1" si="23"/>
        <v>74.858951435197554</v>
      </c>
      <c r="BG50" s="4">
        <f t="shared" ca="1" si="24"/>
        <v>75.3828125</v>
      </c>
      <c r="BH50" s="26">
        <f t="shared" si="25"/>
        <v>0.75</v>
      </c>
      <c r="BI50" s="17">
        <f t="shared" si="26"/>
        <v>53008</v>
      </c>
      <c r="BJ50" s="34" t="str">
        <f t="shared" ca="1" si="27"/>
        <v>74-274</v>
      </c>
      <c r="BK50" s="35" t="str">
        <f t="shared" ca="1" si="28"/>
        <v>75-122</v>
      </c>
      <c r="BL50" s="18">
        <v>100</v>
      </c>
      <c r="BM50" s="19"/>
      <c r="BN50" s="11" t="s">
        <v>155</v>
      </c>
      <c r="BO50" s="14">
        <f t="shared" ca="1" si="58"/>
        <v>9.0329480166916234</v>
      </c>
      <c r="BP50" s="14">
        <f t="shared" ca="1" si="59"/>
        <v>23.060412385380769</v>
      </c>
      <c r="BQ50" s="11" t="s">
        <v>156</v>
      </c>
      <c r="BR50" s="14">
        <f t="shared" ca="1" si="60"/>
        <v>21.561613305015289</v>
      </c>
      <c r="BS50" s="14">
        <f t="shared" ca="1" si="61"/>
        <v>22.779518350049731</v>
      </c>
      <c r="BT50" s="14">
        <f t="shared" ca="1" si="62"/>
        <v>26.111500396112685</v>
      </c>
      <c r="BU50" s="21">
        <f t="shared" si="63"/>
        <v>100</v>
      </c>
      <c r="BV50" s="14">
        <f t="shared" ca="1" si="64"/>
        <v>73.784635036521536</v>
      </c>
      <c r="BW50" s="16">
        <f t="shared" ca="1" si="65"/>
        <v>0.12911455025090945</v>
      </c>
      <c r="BX50" s="16">
        <f t="shared" ca="1" si="66"/>
        <v>0.87088544974909055</v>
      </c>
      <c r="BY50" s="11"/>
      <c r="BZ50" s="11" t="str">
        <f t="shared" si="31"/>
        <v>CT10</v>
      </c>
      <c r="CA50" s="11" t="str">
        <f t="shared" si="32"/>
        <v>CT30</v>
      </c>
      <c r="CB50" s="21">
        <f t="shared" ca="1" si="56"/>
        <v>21.728939304577981</v>
      </c>
      <c r="CC50" s="21">
        <f t="shared" ca="1" si="57"/>
        <v>73.702151237951426</v>
      </c>
    </row>
    <row r="51" spans="1:81" x14ac:dyDescent="0.25">
      <c r="A51" s="19" t="s">
        <v>75</v>
      </c>
      <c r="B51" s="11" cm="1">
        <f t="array" ref="B51">_xll.BDP(A51&amp;" Govt","COUPON")</f>
        <v>1</v>
      </c>
      <c r="C51" s="17" cm="1">
        <f t="array" ref="C51">DATEVALUE(_xll.BDP(A51&amp;" Govt","MATURITY"))</f>
        <v>53373</v>
      </c>
      <c r="D51" s="15" cm="1">
        <f t="array" aca="1" ref="D51" ca="1">_xll.BDH(A51&amp;"@BVN4 CUSIP","PX_MID",$A$1,$A$1)</f>
        <v>78.171875</v>
      </c>
      <c r="E51" s="15" t="str">
        <f t="shared" ca="1" si="13"/>
        <v>78-054</v>
      </c>
      <c r="F51" s="15" cm="1">
        <f t="array" aca="1" ref="F51" ca="1">_xll.BDP(A51&amp;" Govt","YAS_BOND_YLD","YAS_BOND_PX",D51,"SETTLE_DT",$A$2)</f>
        <v>2.3246009999999999</v>
      </c>
      <c r="G51" s="15" cm="1">
        <f t="array" aca="1" ref="G51" ca="1">_xll.BDP(A51&amp;" Govt","REPO_FORWARD_PRICE","REPO_TERM_DATE",$A$4,"PX_ASK="&amp;D51,"SETTLE_DT",$A$2,"REPO_REPORATE="&amp;$A$5)</f>
        <v>78.162164807057621</v>
      </c>
      <c r="H51" s="15" cm="1">
        <f t="array" aca="1" ref="H51" ca="1">_xll.BDP(A51&amp;" Govt","YAS_BOND_YLD","YAS_BOND_PX",G51,"SETTLE_DT",$A$4)</f>
        <v>2.3254329999999999</v>
      </c>
      <c r="I51" s="11"/>
      <c r="J51" s="11" t="str">
        <f>+VLOOKUP(A51,mapping!$A:$B,2,FALSE)</f>
        <v>912810RQ3</v>
      </c>
      <c r="K51" s="11" cm="1">
        <f t="array" ref="K51">_xll.BDP(J51&amp;" Govt","COUPON")</f>
        <v>2.5</v>
      </c>
      <c r="L51" s="17" cm="1">
        <f t="array" ref="L51">DATEVALUE(_xll.BDP(J51&amp;" Govt","MATURITY"))</f>
        <v>53373</v>
      </c>
      <c r="M51" s="15" cm="1">
        <f t="array" aca="1" ref="M51" ca="1">_xll.BDH(J51&amp;"@BVN4 CUSIP","PX_MID",$A$1,$A$1)</f>
        <v>70.96875</v>
      </c>
      <c r="N51" s="15" t="str">
        <f t="shared" ca="1" si="14"/>
        <v>70-310</v>
      </c>
      <c r="O51" s="15" cm="1">
        <f t="array" aca="1" ref="O51" ca="1">_xll.BDP(J51&amp;" Govt","YAS_BOND_YLD","YAS_BOND_PX",M51,"SETTLE_DT",$A$2)</f>
        <v>4.6952999999999996</v>
      </c>
      <c r="P51" s="15" cm="1">
        <f t="array" aca="1" ref="P51" ca="1">_xll.BDP(J51&amp;" Govt","REPO_FORWARD_PRICE","REPO_TERM_DATE",$A$4,"PX_ASK="&amp;M51,"SETTLE_DT",$A$2,"REPO_REPORATE="&amp;$A$5)</f>
        <v>70.970420512416553</v>
      </c>
      <c r="Q51" s="15" cm="1">
        <f t="array" aca="1" ref="Q51" ca="1">_xll.BDP(J51&amp;" Govt","YAS_BOND_YLD","YAS_BOND_PX",P51,"SETTLE_DT",$A$4)</f>
        <v>4.6953529999999999</v>
      </c>
      <c r="R51" s="11"/>
      <c r="S51" s="22">
        <f t="shared" ca="1" si="15"/>
        <v>237.06989999999996</v>
      </c>
      <c r="T51" s="22">
        <f t="shared" ca="1" si="16"/>
        <v>236.99199999999999</v>
      </c>
      <c r="U51" s="15" cm="1">
        <f t="array" ref="U51">_xll.BDP($A51&amp;" Govt","BASE_CPI")</f>
        <v>236.94448</v>
      </c>
      <c r="V51" s="15">
        <f t="shared" ca="1" si="17"/>
        <v>1.33873</v>
      </c>
      <c r="W51" s="14" cm="1">
        <f t="array" ref="W51">_xll.BDP($A51&amp;" Govt","YAS_RISK","YIELD_BETA_ASSUMPTION=1",)</f>
        <v>19.207068510828325</v>
      </c>
      <c r="X51" s="15">
        <f t="shared" ca="1" si="18"/>
        <v>0.17176823292166885</v>
      </c>
      <c r="Y51" s="15">
        <f t="shared" ca="1" si="51"/>
        <v>5.8945704491729096E-2</v>
      </c>
      <c r="Z51" s="15">
        <f t="shared" ca="1" si="52"/>
        <v>-1.8245099009344082E-2</v>
      </c>
      <c r="AA51" s="14">
        <f t="shared" ca="1" si="53"/>
        <v>23.586962178993367</v>
      </c>
      <c r="AB51" s="15" cm="1">
        <f t="array" ref="AB51">_xll.BDP(J51&amp;" Govt","YLD_YTM_MID")</f>
        <v>4.7077732000000001</v>
      </c>
      <c r="AC51" s="19">
        <v>0.75</v>
      </c>
      <c r="AD51" s="14">
        <f t="shared" ca="1" si="54"/>
        <v>0.31050500000000536</v>
      </c>
      <c r="AE51" s="22">
        <f t="shared" ca="1" si="55"/>
        <v>237.28425990099066</v>
      </c>
      <c r="AF51" s="22" cm="1">
        <f t="array" ref="AF51">(AB51-_xll.BDP(A51&amp;" Govt","YLD_YTM_MID"))*100</f>
        <v>238.61655401461758</v>
      </c>
      <c r="AG51" s="22">
        <f t="shared" ca="1" si="6"/>
        <v>1.3322941136269151</v>
      </c>
      <c r="AI51" s="12">
        <v>6</v>
      </c>
      <c r="AJ51" s="12">
        <v>6</v>
      </c>
      <c r="AL51" s="13">
        <v>0</v>
      </c>
      <c r="AM51" s="13">
        <v>0</v>
      </c>
      <c r="AO51" s="14">
        <f t="shared" ca="1" si="19"/>
        <v>1.3068723884568205</v>
      </c>
      <c r="AP51" s="14">
        <f t="shared" ca="1" si="19"/>
        <v>1.3068723884568205</v>
      </c>
      <c r="AR51" s="5">
        <f t="shared" ca="1" si="7"/>
        <v>2.347999324874662</v>
      </c>
      <c r="AS51" s="5">
        <f t="shared" ca="1" si="8"/>
        <v>2.3218618771055253</v>
      </c>
      <c r="AT51" cm="1">
        <f t="array" aca="1" ref="AT51" ca="1">_xll.BDP($A51&amp;" Govt","YAS_BOND_PX","YAS_BOND_YLD",AR51,"SETTLE_DT",$A$4)</f>
        <v>77.839143326612941</v>
      </c>
      <c r="AU51" cm="1">
        <f t="array" aca="1" ref="AU51" ca="1">_xll.BDP($A51&amp;" Govt","YAS_BOND_PX","YAS_BOND_YLD",AS51,"SETTLE_DT",$A$4)</f>
        <v>78.213425135135239</v>
      </c>
      <c r="AV51" s="15" t="str">
        <f t="shared" ca="1" si="9"/>
        <v>77-267</v>
      </c>
      <c r="AW51" s="15" t="str">
        <f t="shared" ca="1" si="10"/>
        <v>78-067</v>
      </c>
      <c r="AY51" cm="1">
        <f t="array" ref="AY51">_xll.BDP($A51&amp;" Govt","CBBT_PX_BID")</f>
        <v>78.078125</v>
      </c>
      <c r="AZ51" cm="1">
        <f t="array" ref="AZ51">_xll.BDP($A51&amp;" Govt","CBBT_PX_ASK")</f>
        <v>78.3515625</v>
      </c>
      <c r="BA51">
        <f t="shared" si="20"/>
        <v>78.21484375</v>
      </c>
      <c r="BB51" cm="1">
        <f t="array" aca="1" ref="BB51" ca="1">_xll.BDP(A51&amp;" Govt","YAS_BOND_YLD","YAS_BOND_PX",BA51,"SETTLE_DT",$A$4)</f>
        <v>2.3217629999999998</v>
      </c>
      <c r="BC51" s="15" t="str">
        <f t="shared" si="21"/>
        <v>78-024</v>
      </c>
      <c r="BD51" s="15" t="str">
        <f t="shared" si="22"/>
        <v>78-112</v>
      </c>
      <c r="BF51" s="4">
        <f t="shared" ca="1" si="23"/>
        <v>77.839143326612941</v>
      </c>
      <c r="BG51" s="4">
        <f t="shared" ca="1" si="24"/>
        <v>78.3515625</v>
      </c>
      <c r="BH51" s="26">
        <f t="shared" si="25"/>
        <v>1</v>
      </c>
      <c r="BI51" s="17">
        <f t="shared" si="26"/>
        <v>53373</v>
      </c>
      <c r="BJ51" s="34" t="str">
        <f t="shared" ca="1" si="27"/>
        <v>77-267</v>
      </c>
      <c r="BK51" s="35" t="str">
        <f t="shared" ca="1" si="28"/>
        <v>78-112</v>
      </c>
      <c r="BL51" s="18">
        <v>100</v>
      </c>
      <c r="BM51" s="19"/>
      <c r="BN51" s="11" t="s">
        <v>155</v>
      </c>
      <c r="BO51" s="14">
        <f t="shared" ca="1" si="58"/>
        <v>9.0329480166916234</v>
      </c>
      <c r="BP51" s="14">
        <f t="shared" ca="1" si="59"/>
        <v>23.060412385380769</v>
      </c>
      <c r="BQ51" s="11" t="s">
        <v>156</v>
      </c>
      <c r="BR51" s="14">
        <f t="shared" ca="1" si="60"/>
        <v>21.561613305015289</v>
      </c>
      <c r="BS51" s="14">
        <f t="shared" ca="1" si="61"/>
        <v>22.779518350049731</v>
      </c>
      <c r="BT51" s="14">
        <f t="shared" ca="1" si="62"/>
        <v>24.376166535207318</v>
      </c>
      <c r="BU51" s="21">
        <f t="shared" si="63"/>
        <v>100</v>
      </c>
      <c r="BV51" s="14">
        <f t="shared" ca="1" si="64"/>
        <v>78.867855659415881</v>
      </c>
      <c r="BW51" s="16">
        <f t="shared" ca="1" si="65"/>
        <v>0.11463938134786701</v>
      </c>
      <c r="BX51" s="16">
        <f t="shared" ca="1" si="66"/>
        <v>0.885360618652133</v>
      </c>
      <c r="BY51" s="11"/>
      <c r="BZ51" s="11" t="str">
        <f t="shared" si="31"/>
        <v>CT10</v>
      </c>
      <c r="CA51" s="11" t="str">
        <f t="shared" si="32"/>
        <v>CT30</v>
      </c>
      <c r="CB51" s="21">
        <f t="shared" ca="1" si="56"/>
        <v>20.284864335128688</v>
      </c>
      <c r="CC51" s="21">
        <f t="shared" ca="1" si="57"/>
        <v>78.779689331607301</v>
      </c>
    </row>
    <row r="52" spans="1:81" x14ac:dyDescent="0.25">
      <c r="A52" s="19" t="s">
        <v>69</v>
      </c>
      <c r="B52" s="11" cm="1">
        <f t="array" ref="B52">_xll.BDP(A52&amp;" Govt","COUPON")</f>
        <v>0.875</v>
      </c>
      <c r="C52" s="17" cm="1">
        <f t="array" ref="C52">DATEVALUE(_xll.BDP(A52&amp;" Govt","MATURITY"))</f>
        <v>53738</v>
      </c>
      <c r="D52" s="15" cm="1">
        <f t="array" aca="1" ref="D52" ca="1">_xll.BDH(A52&amp;"@BVN4 CUSIP","PX_MID",$A$1,$A$1)</f>
        <v>75.041015625</v>
      </c>
      <c r="E52" s="15" t="str">
        <f t="shared" ca="1" si="13"/>
        <v>75-013</v>
      </c>
      <c r="F52" s="15" cm="1">
        <f t="array" aca="1" ref="F52" ca="1">_xll.BDP(A52&amp;" Govt","YAS_BOND_YLD","YAS_BOND_PX",D52,"SETTLE_DT",$A$2)</f>
        <v>2.3378070000000002</v>
      </c>
      <c r="G52" s="15" cm="1">
        <f t="array" aca="1" ref="G52" ca="1">_xll.BDP(A52&amp;" Govt","REPO_FORWARD_PRICE","REPO_TERM_DATE",$A$4,"PX_ASK="&amp;D52,"SETTLE_DT",$A$2,"REPO_REPORATE="&amp;$A$5)</f>
        <v>75.031634726889209</v>
      </c>
      <c r="H52" s="15" cm="1">
        <f t="array" aca="1" ref="H52" ca="1">_xll.BDP(A52&amp;" Govt","YAS_BOND_YLD","YAS_BOND_PX",G52,"SETTLE_DT",$A$4)</f>
        <v>2.338619</v>
      </c>
      <c r="I52" s="11"/>
      <c r="J52" s="11" t="str">
        <f>+VLOOKUP(A52,mapping!$A:$B,2,FALSE)</f>
        <v>912810RV2</v>
      </c>
      <c r="K52" s="11" cm="1">
        <f t="array" ref="K52">_xll.BDP(J52&amp;" Govt","COUPON")</f>
        <v>3</v>
      </c>
      <c r="L52" s="17" cm="1">
        <f t="array" ref="L52">DATEVALUE(_xll.BDP(J52&amp;" Govt","MATURITY"))</f>
        <v>53738</v>
      </c>
      <c r="M52" s="15" cm="1">
        <f t="array" aca="1" ref="M52" ca="1">_xll.BDH(J52&amp;"@BVN4 CUSIP","PX_MID",$A$1,$A$1)</f>
        <v>76.875</v>
      </c>
      <c r="N52" s="15" t="str">
        <f t="shared" ca="1" si="14"/>
        <v>76-280</v>
      </c>
      <c r="O52" s="15" cm="1">
        <f t="array" aca="1" ref="O52" ca="1">_xll.BDP(J52&amp;" Govt","YAS_BOND_YLD","YAS_BOND_PX",M52,"SETTLE_DT",$A$2)</f>
        <v>4.7026300000000001</v>
      </c>
      <c r="P52" s="15" cm="1">
        <f t="array" aca="1" ref="P52" ca="1">_xll.BDP(J52&amp;" Govt","REPO_FORWARD_PRICE","REPO_TERM_DATE",$A$4,"PX_ASK="&amp;M52,"SETTLE_DT",$A$2,"REPO_REPORATE="&amp;$A$5)</f>
        <v>76.876006661774852</v>
      </c>
      <c r="Q52" s="15" cm="1">
        <f t="array" aca="1" ref="Q52" ca="1">_xll.BDP(J52&amp;" Govt","YAS_BOND_YLD","YAS_BOND_PX",P52,"SETTLE_DT",$A$4)</f>
        <v>4.7026839999999996</v>
      </c>
      <c r="R52" s="11"/>
      <c r="S52" s="22">
        <f t="shared" ca="1" si="15"/>
        <v>236.48229999999998</v>
      </c>
      <c r="T52" s="22">
        <f t="shared" ca="1" si="16"/>
        <v>236.40649999999997</v>
      </c>
      <c r="U52" s="15" cm="1">
        <f t="array" ref="U52">_xll.BDP($A52&amp;" Govt","BASE_CPI")</f>
        <v>241.39250000000001</v>
      </c>
      <c r="V52" s="15">
        <f t="shared" ca="1" si="17"/>
        <v>1.31406</v>
      </c>
      <c r="W52" s="14" cm="1">
        <f t="array" ref="W52">_xll.BDP($A52&amp;" Govt","YAS_RISK","YIELD_BETA_ASSUMPTION=1",)</f>
        <v>19.089757858993458</v>
      </c>
      <c r="X52" s="15">
        <f t="shared" ca="1" si="18"/>
        <v>0.16284503093877056</v>
      </c>
      <c r="Y52" s="15">
        <f t="shared" ca="1" si="51"/>
        <v>5.5883529267257898E-2</v>
      </c>
      <c r="Z52" s="15">
        <f t="shared" ca="1" si="52"/>
        <v>-1.7297282868436365E-2</v>
      </c>
      <c r="AA52" s="14">
        <f t="shared" ca="1" si="53"/>
        <v>22.225063375373491</v>
      </c>
      <c r="AB52" s="15" cm="1">
        <f t="array" ref="AB52">_xll.BDP(J52&amp;" Govt","YLD_YTM_MID")</f>
        <v>4.7162787328960647</v>
      </c>
      <c r="AC52" s="19">
        <v>0.75</v>
      </c>
      <c r="AD52" s="14">
        <f t="shared" ca="1" si="54"/>
        <v>0.33986832240162634</v>
      </c>
      <c r="AE52" s="22">
        <f t="shared" ca="1" si="55"/>
        <v>236.72907103953315</v>
      </c>
      <c r="AF52" s="22" cm="1">
        <f t="array" ref="AF52">(AB52-_xll.BDP(A52&amp;" Govt","YLD_YTM_MID"))*100</f>
        <v>238.23687223215734</v>
      </c>
      <c r="AG52" s="22">
        <f t="shared" ca="1" si="6"/>
        <v>1.5078011926241857</v>
      </c>
      <c r="AI52" s="12">
        <v>6</v>
      </c>
      <c r="AJ52" s="12">
        <v>6</v>
      </c>
      <c r="AL52" s="13">
        <v>0</v>
      </c>
      <c r="AM52" s="13">
        <v>0</v>
      </c>
      <c r="AO52" s="14">
        <f t="shared" ca="1" si="19"/>
        <v>1.2906724737942337</v>
      </c>
      <c r="AP52" s="14">
        <f t="shared" ca="1" si="19"/>
        <v>1.2906724737942337</v>
      </c>
      <c r="AR52" s="5">
        <f t="shared" ca="1" si="7"/>
        <v>2.3618947472386753</v>
      </c>
      <c r="AS52" s="5">
        <f t="shared" ca="1" si="8"/>
        <v>2.3360812977627909</v>
      </c>
      <c r="AT52" cm="1">
        <f t="array" aca="1" ref="AT52" ca="1">_xll.BDP($A52&amp;" Govt","YAS_BOND_PX","YAS_BOND_YLD",AR52,"SETTLE_DT",$A$4)</f>
        <v>74.694415218538708</v>
      </c>
      <c r="AU52" cm="1">
        <f t="array" aca="1" ref="AU52" ca="1">_xll.BDP($A52&amp;" Govt","YAS_BOND_PX","YAS_BOND_YLD",AS52,"SETTLE_DT",$A$4)</f>
        <v>75.068498812570169</v>
      </c>
      <c r="AV52" s="15" t="str">
        <f t="shared" ca="1" si="9"/>
        <v>74-222</v>
      </c>
      <c r="AW52" s="15" t="str">
        <f t="shared" ca="1" si="10"/>
        <v>75-022</v>
      </c>
      <c r="AY52" cm="1">
        <f t="array" ref="AY52">_xll.BDP($A52&amp;" Govt","CBBT_PX_BID")</f>
        <v>74.9609375</v>
      </c>
      <c r="AZ52" cm="1">
        <f t="array" ref="AZ52">_xll.BDP($A52&amp;" Govt","CBBT_PX_ASK")</f>
        <v>75.234375</v>
      </c>
      <c r="BA52">
        <f t="shared" si="20"/>
        <v>75.09765625</v>
      </c>
      <c r="BB52" cm="1">
        <f t="array" aca="1" ref="BB52" ca="1">_xll.BDP(A52&amp;" Govt","YAS_BOND_YLD","YAS_BOND_PX",BA52,"SETTLE_DT",$A$4)</f>
        <v>2.3340749999999999</v>
      </c>
      <c r="BC52" s="15" t="str">
        <f t="shared" si="21"/>
        <v>74-306</v>
      </c>
      <c r="BD52" s="15" t="str">
        <f t="shared" si="22"/>
        <v>75-074</v>
      </c>
      <c r="BF52" s="4">
        <f t="shared" ca="1" si="23"/>
        <v>74.694415218538708</v>
      </c>
      <c r="BG52" s="4">
        <f t="shared" ca="1" si="24"/>
        <v>75.234375</v>
      </c>
      <c r="BH52" s="26">
        <f t="shared" si="25"/>
        <v>0.875</v>
      </c>
      <c r="BI52" s="17">
        <f t="shared" si="26"/>
        <v>53738</v>
      </c>
      <c r="BJ52" s="34" t="str">
        <f t="shared" ca="1" si="27"/>
        <v>74-222</v>
      </c>
      <c r="BK52" s="35" t="str">
        <f t="shared" ca="1" si="28"/>
        <v>75-074</v>
      </c>
      <c r="BL52" s="18">
        <v>100</v>
      </c>
      <c r="BM52" s="19"/>
      <c r="BN52" s="11" t="s">
        <v>155</v>
      </c>
      <c r="BO52" s="14">
        <f t="shared" ca="1" si="58"/>
        <v>9.0329480166916234</v>
      </c>
      <c r="BP52" s="14">
        <f t="shared" ca="1" si="59"/>
        <v>23.060412385380769</v>
      </c>
      <c r="BQ52" s="11" t="s">
        <v>156</v>
      </c>
      <c r="BR52" s="14">
        <f t="shared" ca="1" si="60"/>
        <v>21.561613305015289</v>
      </c>
      <c r="BS52" s="14">
        <f t="shared" ca="1" si="61"/>
        <v>22.779518350049731</v>
      </c>
      <c r="BT52" s="14">
        <f t="shared" ca="1" si="62"/>
        <v>15.217773793901998</v>
      </c>
      <c r="BU52" s="21">
        <f t="shared" si="63"/>
        <v>100</v>
      </c>
      <c r="BV52" s="14">
        <f t="shared" ca="1" si="64"/>
        <v>82.160569398450249</v>
      </c>
      <c r="BW52" s="16">
        <f t="shared" ca="1" si="65"/>
        <v>7.2007911585598661E-2</v>
      </c>
      <c r="BX52" s="16">
        <f t="shared" ca="1" si="66"/>
        <v>0.92799208841440128</v>
      </c>
      <c r="BY52" s="11"/>
      <c r="BZ52" s="11" t="str">
        <f t="shared" si="31"/>
        <v>CT10</v>
      </c>
      <c r="CA52" s="11" t="str">
        <f t="shared" si="32"/>
        <v>CT30</v>
      </c>
      <c r="CB52" s="21">
        <f t="shared" ca="1" si="56"/>
        <v>12.663618639383944</v>
      </c>
      <c r="CC52" s="21">
        <f t="shared" ca="1" si="57"/>
        <v>82.068722147958155</v>
      </c>
    </row>
    <row r="53" spans="1:81" x14ac:dyDescent="0.25">
      <c r="A53" s="19" t="s">
        <v>63</v>
      </c>
      <c r="B53" s="11" cm="1">
        <f t="array" ref="B53">_xll.BDP(A53&amp;" Govt","COUPON")</f>
        <v>1</v>
      </c>
      <c r="C53" s="17" cm="1">
        <f t="array" ref="C53">DATEVALUE(_xll.BDP(A53&amp;" Govt","MATURITY"))</f>
        <v>54103</v>
      </c>
      <c r="D53" s="15" cm="1">
        <f t="array" aca="1" ref="D53" ca="1">_xll.BDH(A53&amp;"@BVN4 CUSIP","PX_MID",$A$1,$A$1)</f>
        <v>76.19921875</v>
      </c>
      <c r="E53" s="15" t="str">
        <f t="shared" ca="1" si="13"/>
        <v>76-063</v>
      </c>
      <c r="F53" s="15" cm="1">
        <f t="array" aca="1" ref="F53" ca="1">_xll.BDP(A53&amp;" Govt","YAS_BOND_YLD","YAS_BOND_PX",D53,"SETTLE_DT",$A$2)</f>
        <v>2.3499759999999998</v>
      </c>
      <c r="G53" s="15" cm="1">
        <f t="array" aca="1" ref="G53" ca="1">_xll.BDP(A53&amp;" Govt","REPO_FORWARD_PRICE","REPO_TERM_DATE",$A$4,"PX_ASK="&amp;D53,"SETTLE_DT",$A$2,"REPO_REPORATE="&amp;$A$5)</f>
        <v>76.189626723898797</v>
      </c>
      <c r="H53" s="15" cm="1">
        <f t="array" aca="1" ref="H53" ca="1">_xll.BDP(A53&amp;" Govt","YAS_BOND_YLD","YAS_BOND_PX",G53,"SETTLE_DT",$A$4)</f>
        <v>2.3507530000000001</v>
      </c>
      <c r="I53" s="11"/>
      <c r="J53" s="11" t="str">
        <f>+VLOOKUP(A53,mapping!$A:$B,2,FALSE)</f>
        <v>912810SA7</v>
      </c>
      <c r="K53" s="11" cm="1">
        <f t="array" ref="K53">_xll.BDP(J53&amp;" Govt","COUPON")</f>
        <v>3</v>
      </c>
      <c r="L53" s="17" cm="1">
        <f t="array" ref="L53">DATEVALUE(_xll.BDP(J53&amp;" Govt","MATURITY"))</f>
        <v>54103</v>
      </c>
      <c r="M53" s="15" cm="1">
        <f t="array" aca="1" ref="M53" ca="1">_xll.BDH(J53&amp;"@BVN4 CUSIP","PX_MID",$A$1,$A$1)</f>
        <v>76.1015625</v>
      </c>
      <c r="N53" s="15" t="str">
        <f t="shared" ca="1" si="14"/>
        <v>76-032</v>
      </c>
      <c r="O53" s="15" cm="1">
        <f t="array" aca="1" ref="O53" ca="1">_xll.BDP(J53&amp;" Govt","YAS_BOND_YLD","YAS_BOND_PX",M53,"SETTLE_DT",$A$2)</f>
        <v>4.7179950000000002</v>
      </c>
      <c r="P53" s="15" cm="1">
        <f t="array" aca="1" ref="P53" ca="1">_xll.BDP(J53&amp;" Govt","REPO_FORWARD_PRICE","REPO_TERM_DATE",$A$4,"PX_ASK="&amp;M53,"SETTLE_DT",$A$2,"REPO_REPORATE="&amp;$A$5)</f>
        <v>76.102476027009232</v>
      </c>
      <c r="Q53" s="15" cm="1">
        <f t="array" aca="1" ref="Q53" ca="1">_xll.BDP(J53&amp;" Govt","YAS_BOND_YLD","YAS_BOND_PX",P53,"SETTLE_DT",$A$4)</f>
        <v>4.7180499999999999</v>
      </c>
      <c r="R53" s="11"/>
      <c r="S53" s="22">
        <f t="shared" ca="1" si="15"/>
        <v>236.80190000000005</v>
      </c>
      <c r="T53" s="22">
        <f t="shared" ca="1" si="16"/>
        <v>236.72969999999998</v>
      </c>
      <c r="U53" s="15" cm="1">
        <f t="array" ref="U53">_xll.BDP($A53&amp;" Govt","BASE_CPI")</f>
        <v>246.59649999999999</v>
      </c>
      <c r="V53" s="15">
        <f t="shared" ca="1" si="17"/>
        <v>1.28633</v>
      </c>
      <c r="W53" s="14" cm="1">
        <f t="array" ref="W53">_xll.BDP($A53&amp;" Govt","YAS_RISK","YIELD_BETA_ASSUMPTION=1",)</f>
        <v>19.445529651296205</v>
      </c>
      <c r="X53" s="15">
        <f t="shared" ca="1" si="18"/>
        <v>0.15890729449996796</v>
      </c>
      <c r="Y53" s="15">
        <f t="shared" ca="1" si="51"/>
        <v>5.4532216253554006E-2</v>
      </c>
      <c r="Z53" s="15">
        <f t="shared" ca="1" si="52"/>
        <v>-1.687901931657565E-2</v>
      </c>
      <c r="AA53" s="14">
        <f t="shared" ca="1" si="53"/>
        <v>22.091829752278773</v>
      </c>
      <c r="AB53" s="15" cm="1">
        <f t="array" ref="AB53">_xll.BDP(J53&amp;" Govt","YLD_YTM_MID")</f>
        <v>4.7314305963974546</v>
      </c>
      <c r="AC53" s="19">
        <v>0.75</v>
      </c>
      <c r="AD53" s="14">
        <f t="shared" ca="1" si="54"/>
        <v>0.33451490993636757</v>
      </c>
      <c r="AE53" s="22">
        <f t="shared" ca="1" si="55"/>
        <v>237.04733589061976</v>
      </c>
      <c r="AF53" s="22" cm="1">
        <f t="array" ref="AF53">(AB53-_xll.BDP(A53&amp;" Govt","YLD_YTM_MID"))*100</f>
        <v>238.55873823098946</v>
      </c>
      <c r="AG53" s="22">
        <f t="shared" ca="1" si="6"/>
        <v>1.511402340369699</v>
      </c>
      <c r="AI53" s="12">
        <v>6</v>
      </c>
      <c r="AJ53" s="12">
        <v>6</v>
      </c>
      <c r="AL53" s="13">
        <v>0</v>
      </c>
      <c r="AM53" s="13">
        <v>0</v>
      </c>
      <c r="AO53" s="14">
        <f t="shared" ca="1" si="19"/>
        <v>1.2403204197830782</v>
      </c>
      <c r="AP53" s="14">
        <f t="shared" ca="1" si="19"/>
        <v>1.2403204197830782</v>
      </c>
      <c r="AR53" s="5">
        <f t="shared" ca="1" si="7"/>
        <v>2.3733604416890874</v>
      </c>
      <c r="AS53" s="5">
        <f t="shared" ca="1" si="8"/>
        <v>2.3485540332934263</v>
      </c>
      <c r="AT53" cm="1">
        <f t="array" aca="1" ref="AT53" ca="1">_xll.BDP($A53&amp;" Govt","YAS_BOND_PX","YAS_BOND_YLD",AR53,"SETTLE_DT",$A$4)</f>
        <v>75.848807254023484</v>
      </c>
      <c r="AU53" cm="1">
        <f t="array" aca="1" ref="AU53" ca="1">_xll.BDP($A53&amp;" Govt","YAS_BOND_PX","YAS_BOND_YLD",AS53,"SETTLE_DT",$A$4)</f>
        <v>76.222874007859602</v>
      </c>
      <c r="AV53" s="15" t="str">
        <f t="shared" ca="1" si="9"/>
        <v>75-271</v>
      </c>
      <c r="AW53" s="15" t="str">
        <f t="shared" ca="1" si="10"/>
        <v>76-071</v>
      </c>
      <c r="AY53" cm="1">
        <f t="array" ref="AY53">_xll.BDP($A53&amp;" Govt","CBBT_PX_BID")</f>
        <v>76.125</v>
      </c>
      <c r="AZ53" cm="1">
        <f t="array" ref="AZ53">_xll.BDP($A53&amp;" Govt","CBBT_PX_ASK")</f>
        <v>76.3984375</v>
      </c>
      <c r="BA53">
        <f t="shared" si="20"/>
        <v>76.26171875</v>
      </c>
      <c r="BB53" cm="1">
        <f t="array" aca="1" ref="BB53" ca="1">_xll.BDP(A53&amp;" Govt","YAS_BOND_YLD","YAS_BOND_PX",BA53,"SETTLE_DT",$A$4)</f>
        <v>2.3459859999999999</v>
      </c>
      <c r="BC53" s="15" t="str">
        <f t="shared" si="21"/>
        <v>76-040</v>
      </c>
      <c r="BD53" s="15" t="str">
        <f t="shared" si="22"/>
        <v>76-126</v>
      </c>
      <c r="BF53" s="4">
        <f t="shared" ca="1" si="23"/>
        <v>75.848807254023484</v>
      </c>
      <c r="BG53" s="4">
        <f t="shared" ca="1" si="24"/>
        <v>76.3984375</v>
      </c>
      <c r="BH53" s="26">
        <f t="shared" si="25"/>
        <v>1</v>
      </c>
      <c r="BI53" s="17">
        <f t="shared" si="26"/>
        <v>54103</v>
      </c>
      <c r="BJ53" s="34" t="str">
        <f t="shared" ca="1" si="27"/>
        <v>75-271</v>
      </c>
      <c r="BK53" s="35" t="str">
        <f t="shared" ca="1" si="28"/>
        <v>76-126</v>
      </c>
      <c r="BL53" s="18">
        <v>100</v>
      </c>
      <c r="BM53" s="19"/>
      <c r="BN53" s="11" t="s">
        <v>155</v>
      </c>
      <c r="BO53" s="14">
        <f t="shared" ca="1" si="58"/>
        <v>9.0329480166916234</v>
      </c>
      <c r="BP53" s="14">
        <f t="shared" ca="1" si="59"/>
        <v>23.060412385380769</v>
      </c>
      <c r="BQ53" s="11" t="s">
        <v>156</v>
      </c>
      <c r="BR53" s="14">
        <f t="shared" ca="1" si="60"/>
        <v>21.561613305015289</v>
      </c>
      <c r="BS53" s="14">
        <f t="shared" ca="1" si="61"/>
        <v>22.779518350049731</v>
      </c>
      <c r="BT53" s="14">
        <f t="shared" ca="1" si="62"/>
        <v>11.451463788851434</v>
      </c>
      <c r="BU53" s="21">
        <f t="shared" si="63"/>
        <v>100</v>
      </c>
      <c r="BV53" s="14">
        <f t="shared" ca="1" si="64"/>
        <v>85.388438330894814</v>
      </c>
      <c r="BW53" s="16">
        <f t="shared" ca="1" si="65"/>
        <v>5.319499081519044E-2</v>
      </c>
      <c r="BX53" s="16">
        <f t="shared" ca="1" si="66"/>
        <v>0.94680500918480959</v>
      </c>
      <c r="BY53" s="11"/>
      <c r="BZ53" s="11" t="str">
        <f t="shared" si="31"/>
        <v>CT10</v>
      </c>
      <c r="CA53" s="11" t="str">
        <f t="shared" si="32"/>
        <v>CT30</v>
      </c>
      <c r="CB53" s="21">
        <f t="shared" ca="1" si="56"/>
        <v>9.5294470957926798</v>
      </c>
      <c r="CC53" s="21">
        <f t="shared" ca="1" si="57"/>
        <v>85.292982647689044</v>
      </c>
    </row>
    <row r="54" spans="1:81" x14ac:dyDescent="0.25">
      <c r="A54" s="19" t="s">
        <v>57</v>
      </c>
      <c r="B54" s="11" cm="1">
        <f t="array" ref="B54">_xll.BDP(A54&amp;" Govt","COUPON")</f>
        <v>1</v>
      </c>
      <c r="C54" s="17" cm="1">
        <f t="array" ref="C54">DATEVALUE(_xll.BDP(A54&amp;" Govt","MATURITY"))</f>
        <v>54469</v>
      </c>
      <c r="D54" s="15" cm="1">
        <f t="array" aca="1" ref="D54" ca="1">_xll.BDH(A54&amp;"@BVN4 CUSIP","PX_MID",$A$1,$A$1)</f>
        <v>75.478515625</v>
      </c>
      <c r="E54" s="15" t="str">
        <f t="shared" ca="1" si="13"/>
        <v>75-153</v>
      </c>
      <c r="F54" s="15" cm="1">
        <f t="array" aca="1" ref="F54" ca="1">_xll.BDP(A54&amp;" Govt","YAS_BOND_YLD","YAS_BOND_PX",D54,"SETTLE_DT",$A$2)</f>
        <v>2.3463509999999999</v>
      </c>
      <c r="G54" s="15" cm="1">
        <f t="array" aca="1" ref="G54" ca="1">_xll.BDP(A54&amp;" Govt","REPO_FORWARD_PRICE","REPO_TERM_DATE",$A$4,"PX_ASK="&amp;D54,"SETTLE_DT",$A$2,"REPO_REPORATE="&amp;$A$5)</f>
        <v>75.46926352534301</v>
      </c>
      <c r="H54" s="15" cm="1">
        <f t="array" aca="1" ref="H54" ca="1">_xll.BDP(A54&amp;" Govt","YAS_BOND_YLD","YAS_BOND_PX",G54,"SETTLE_DT",$A$4)</f>
        <v>2.347083</v>
      </c>
      <c r="I54" s="11"/>
      <c r="J54" s="11" t="str">
        <f>+VLOOKUP(A54,mapping!$A:$B,2,FALSE)</f>
        <v>912810SF6</v>
      </c>
      <c r="K54" s="11" cm="1">
        <f t="array" ref="K54">_xll.BDP(J54&amp;" Govt","COUPON")</f>
        <v>3</v>
      </c>
      <c r="L54" s="17" cm="1">
        <f t="array" ref="L54">DATEVALUE(_xll.BDP(J54&amp;" Govt","MATURITY"))</f>
        <v>54469</v>
      </c>
      <c r="M54" s="15" cm="1">
        <f t="array" aca="1" ref="M54" ca="1">_xll.BDH(J54&amp;"@BVN4 CUSIP","PX_MID",$A$1,$A$1)</f>
        <v>75.4765625</v>
      </c>
      <c r="N54" s="15" t="str">
        <f t="shared" ca="1" si="14"/>
        <v>75-152</v>
      </c>
      <c r="O54" s="15" cm="1">
        <f t="array" aca="1" ref="O54" ca="1">_xll.BDP(J54&amp;" Govt","YAS_BOND_YLD","YAS_BOND_PX",M54,"SETTLE_DT",$A$2)</f>
        <v>4.7226119999999998</v>
      </c>
      <c r="P54" s="15" cm="1">
        <f t="array" aca="1" ref="P54" ca="1">_xll.BDP(J54&amp;" Govt","REPO_FORWARD_PRICE","REPO_TERM_DATE",$A$4,"PX_ASK="&amp;M54,"SETTLE_DT",$A$2,"REPO_REPORATE="&amp;$A$5)</f>
        <v>75.477400766592567</v>
      </c>
      <c r="Q54" s="15" cm="1">
        <f t="array" aca="1" ref="Q54" ca="1">_xll.BDP(J54&amp;" Govt","YAS_BOND_YLD","YAS_BOND_PX",P54,"SETTLE_DT",$A$4)</f>
        <v>4.7226660000000003</v>
      </c>
      <c r="R54" s="11"/>
      <c r="S54" s="22">
        <f t="shared" ca="1" si="15"/>
        <v>237.62610000000001</v>
      </c>
      <c r="T54" s="22">
        <f t="shared" ca="1" si="16"/>
        <v>237.55830000000003</v>
      </c>
      <c r="U54" s="15" cm="1">
        <f t="array" ref="U54">_xll.BDP($A54&amp;" Govt","BASE_CPI")</f>
        <v>251.63550000000001</v>
      </c>
      <c r="V54" s="15">
        <f t="shared" ca="1" si="17"/>
        <v>1.26057</v>
      </c>
      <c r="W54" s="14" cm="1">
        <f t="array" ref="W54">_xll.BDP($A54&amp;" Govt","YAS_RISK","YIELD_BETA_ASSUMPTION=1",)</f>
        <v>19.568298488983995</v>
      </c>
      <c r="X54" s="15">
        <f t="shared" ca="1" si="18"/>
        <v>0.15328454752332615</v>
      </c>
      <c r="Y54" s="15">
        <f t="shared" ca="1" si="51"/>
        <v>5.2602658173579835E-2</v>
      </c>
      <c r="Z54" s="15">
        <f t="shared" ca="1" si="52"/>
        <v>-1.6281775148964617E-2</v>
      </c>
      <c r="AA54" s="14">
        <f t="shared" ca="1" si="53"/>
        <v>21.444677426137577</v>
      </c>
      <c r="AB54" s="15" cm="1">
        <f t="array" ref="AB54">_xll.BDP(J54&amp;" Govt","YLD_YTM_MID")</f>
        <v>4.7351709490372027</v>
      </c>
      <c r="AC54" s="19">
        <v>0.75</v>
      </c>
      <c r="AD54" s="14">
        <f t="shared" ca="1" si="54"/>
        <v>0.31262372593006127</v>
      </c>
      <c r="AE54" s="22">
        <f t="shared" ca="1" si="55"/>
        <v>237.85464195078112</v>
      </c>
      <c r="AF54" s="22" cm="1">
        <f t="array" ref="AF54">(AB54-_xll.BDP(A54&amp;" Govt","YLD_YTM_MID"))*100</f>
        <v>239.27186589145273</v>
      </c>
      <c r="AG54" s="22">
        <f t="shared" ca="1" si="6"/>
        <v>1.4172239406716187</v>
      </c>
      <c r="AI54" s="12">
        <v>6</v>
      </c>
      <c r="AJ54" s="12">
        <v>6</v>
      </c>
      <c r="AL54" s="13">
        <v>0</v>
      </c>
      <c r="AM54" s="13">
        <v>0</v>
      </c>
      <c r="AO54" s="14">
        <f t="shared" ca="1" si="19"/>
        <v>1.2078560388531352</v>
      </c>
      <c r="AP54" s="14">
        <f t="shared" ca="1" si="19"/>
        <v>1.2078560388531352</v>
      </c>
      <c r="AR54" s="5">
        <f t="shared" ca="1" si="7"/>
        <v>2.3687030899179229</v>
      </c>
      <c r="AS54" s="5">
        <f t="shared" ca="1" si="8"/>
        <v>2.3445459691408601</v>
      </c>
      <c r="AT54" cm="1">
        <f t="array" aca="1" ref="AT54" ca="1">_xll.BDP($A54&amp;" Govt","YAS_BOND_PX","YAS_BOND_YLD",AR54,"SETTLE_DT",$A$4)</f>
        <v>75.134538042663834</v>
      </c>
      <c r="AU54" cm="1">
        <f t="array" aca="1" ref="AU54" ca="1">_xll.BDP($A54&amp;" Govt","YAS_BOND_PX","YAS_BOND_YLD",AS54,"SETTLE_DT",$A$4)</f>
        <v>75.508644783807597</v>
      </c>
      <c r="AV54" s="15" t="str">
        <f t="shared" ca="1" si="9"/>
        <v>75-042</v>
      </c>
      <c r="AW54" s="15" t="str">
        <f t="shared" ca="1" si="10"/>
        <v>75-162</v>
      </c>
      <c r="AY54" cm="1">
        <f t="array" ref="AY54">_xll.BDP($A54&amp;" Govt","CBBT_PX_BID")</f>
        <v>75.40625</v>
      </c>
      <c r="AZ54" cm="1">
        <f t="array" ref="AZ54">_xll.BDP($A54&amp;" Govt","CBBT_PX_ASK")</f>
        <v>75.671875</v>
      </c>
      <c r="BA54">
        <f t="shared" si="20"/>
        <v>75.5390625</v>
      </c>
      <c r="BB54" cm="1">
        <f t="array" aca="1" ref="BB54" ca="1">_xll.BDP(A54&amp;" Govt","YAS_BOND_YLD","YAS_BOND_PX",BA54,"SETTLE_DT",$A$4)</f>
        <v>2.3425880000000001</v>
      </c>
      <c r="BC54" s="15" t="str">
        <f t="shared" si="21"/>
        <v>75-130</v>
      </c>
      <c r="BD54" s="15" t="str">
        <f t="shared" si="22"/>
        <v>75-214</v>
      </c>
      <c r="BF54" s="4">
        <f t="shared" ca="1" si="23"/>
        <v>75.134538042663834</v>
      </c>
      <c r="BG54" s="4">
        <f t="shared" ca="1" si="24"/>
        <v>75.671875</v>
      </c>
      <c r="BH54" s="26">
        <f t="shared" si="25"/>
        <v>1</v>
      </c>
      <c r="BI54" s="17">
        <f t="shared" si="26"/>
        <v>54469</v>
      </c>
      <c r="BJ54" s="34" t="str">
        <f t="shared" ca="1" si="27"/>
        <v>75-042</v>
      </c>
      <c r="BK54" s="35" t="str">
        <f t="shared" ca="1" si="28"/>
        <v>75-214</v>
      </c>
      <c r="BL54" s="18">
        <v>100</v>
      </c>
      <c r="BM54" s="19"/>
      <c r="BN54" s="11" t="s">
        <v>155</v>
      </c>
      <c r="BO54" s="14">
        <f t="shared" ca="1" si="58"/>
        <v>9.0329480166916234</v>
      </c>
      <c r="BP54" s="14">
        <f t="shared" ca="1" si="59"/>
        <v>23.060412385380769</v>
      </c>
      <c r="BQ54" s="11" t="s">
        <v>156</v>
      </c>
      <c r="BR54" s="14">
        <f t="shared" ca="1" si="60"/>
        <v>21.561613305015289</v>
      </c>
      <c r="BS54" s="14">
        <f t="shared" ca="1" si="61"/>
        <v>22.779518350049731</v>
      </c>
      <c r="BT54" s="14">
        <f t="shared" ca="1" si="62"/>
        <v>5.7043158542934123</v>
      </c>
      <c r="BU54" s="21">
        <f t="shared" si="63"/>
        <v>100</v>
      </c>
      <c r="BV54" s="14">
        <f t="shared" ca="1" si="64"/>
        <v>88.365514832445243</v>
      </c>
      <c r="BW54" s="16">
        <f t="shared" ca="1" si="65"/>
        <v>2.633176748179171E-2</v>
      </c>
      <c r="BX54" s="16">
        <f t="shared" ca="1" si="66"/>
        <v>0.97366823251820833</v>
      </c>
      <c r="BY54" s="11"/>
      <c r="BZ54" s="11" t="str">
        <f t="shared" si="31"/>
        <v>CT10</v>
      </c>
      <c r="CA54" s="11" t="str">
        <f t="shared" si="32"/>
        <v>CT30</v>
      </c>
      <c r="CB54" s="21">
        <f t="shared" ca="1" si="56"/>
        <v>4.746901981570395</v>
      </c>
      <c r="CC54" s="21">
        <f t="shared" ca="1" si="57"/>
        <v>88.266731077231512</v>
      </c>
    </row>
    <row r="55" spans="1:81" x14ac:dyDescent="0.25">
      <c r="A55" s="19" t="s">
        <v>49</v>
      </c>
      <c r="B55" s="11" cm="1">
        <f t="array" ref="B55">_xll.BDP(A55&amp;" Govt","COUPON")</f>
        <v>0.25</v>
      </c>
      <c r="C55" s="17" cm="1">
        <f t="array" ref="C55">DATEVALUE(_xll.BDP(A55&amp;" Govt","MATURITY"))</f>
        <v>54834</v>
      </c>
      <c r="D55" s="15" cm="1">
        <f t="array" aca="1" ref="D55" ca="1">_xll.BDH(A55&amp;"@BVN4 CUSIP","PX_MID",$A$1,$A$1)</f>
        <v>60.498046875</v>
      </c>
      <c r="E55" s="15" t="str">
        <f t="shared" ca="1" si="13"/>
        <v>60-158</v>
      </c>
      <c r="F55" s="15" cm="1">
        <f t="array" aca="1" ref="F55" ca="1">_xll.BDP(A55&amp;" Govt","YAS_BOND_YLD","YAS_BOND_PX",D55,"SETTLE_DT",$A$2)</f>
        <v>2.3562509999999999</v>
      </c>
      <c r="G55" s="15" cm="1">
        <f t="array" aca="1" ref="G55" ca="1">_xll.BDP(A55&amp;" Govt","REPO_FORWARD_PRICE","REPO_TERM_DATE",$A$4,"PX_ASK="&amp;D55,"SETTLE_DT",$A$2,"REPO_REPORATE="&amp;$A$5)</f>
        <v>60.491888578396498</v>
      </c>
      <c r="H55" s="15" cm="1">
        <f t="array" aca="1" ref="H55" ca="1">_xll.BDP(A55&amp;" Govt","YAS_BOND_YLD","YAS_BOND_PX",G55,"SETTLE_DT",$A$4)</f>
        <v>2.3569089999999999</v>
      </c>
      <c r="I55" s="11"/>
      <c r="J55" s="11" t="str">
        <f>+VLOOKUP(A55,mapping!$A:$B,2,FALSE)</f>
        <v>912810SL3</v>
      </c>
      <c r="K55" s="11" cm="1">
        <f t="array" ref="K55">_xll.BDP(J55&amp;" Govt","COUPON")</f>
        <v>2</v>
      </c>
      <c r="L55" s="17" cm="1">
        <f t="array" ref="L55">DATEVALUE(_xll.BDP(J55&amp;" Govt","MATURITY"))</f>
        <v>54834</v>
      </c>
      <c r="M55" s="15" cm="1">
        <f t="array" aca="1" ref="M55" ca="1">_xll.BDH(J55&amp;"@BVN4 CUSIP","PX_MID",$A$1,$A$1)</f>
        <v>60.3828125</v>
      </c>
      <c r="N55" s="15" t="str">
        <f t="shared" ca="1" si="14"/>
        <v>60-122</v>
      </c>
      <c r="O55" s="15" cm="1">
        <f t="array" aca="1" ref="O55" ca="1">_xll.BDP(J55&amp;" Govt","YAS_BOND_YLD","YAS_BOND_PX",M55,"SETTLE_DT",$A$2)</f>
        <v>4.7224630000000003</v>
      </c>
      <c r="P55" s="15" cm="1">
        <f t="array" aca="1" ref="P55" ca="1">_xll.BDP(J55&amp;" Govt","REPO_FORWARD_PRICE","REPO_TERM_DATE",$A$4,"PX_ASK="&amp;M55,"SETTLE_DT",$A$2,"REPO_REPORATE="&amp;$A$5)</f>
        <v>60.384583350688445</v>
      </c>
      <c r="Q55" s="15" cm="1">
        <f t="array" aca="1" ref="Q55" ca="1">_xll.BDP(J55&amp;" Govt","YAS_BOND_YLD","YAS_BOND_PX",P55,"SETTLE_DT",$A$4)</f>
        <v>4.722512</v>
      </c>
      <c r="R55" s="11"/>
      <c r="S55" s="22">
        <f t="shared" ca="1" si="15"/>
        <v>236.62120000000004</v>
      </c>
      <c r="T55" s="22">
        <f t="shared" ca="1" si="16"/>
        <v>236.56030000000001</v>
      </c>
      <c r="U55" s="15" cm="1">
        <f t="array" ref="U55">_xll.BDP($A55&amp;" Govt","BASE_CPI")</f>
        <v>257.09503000000001</v>
      </c>
      <c r="V55" s="15">
        <f t="shared" ca="1" si="17"/>
        <v>1.2338</v>
      </c>
      <c r="W55" s="14" cm="1">
        <f t="array" ref="W55">_xll.BDP($A55&amp;" Govt","YAS_RISK","YIELD_BETA_ASSUMPTION=1",)</f>
        <v>17.609921596157655</v>
      </c>
      <c r="X55" s="15">
        <f t="shared" ca="1" si="18"/>
        <v>0.13362577913481177</v>
      </c>
      <c r="Y55" s="15">
        <f t="shared" ca="1" si="51"/>
        <v>4.5856358625693358E-2</v>
      </c>
      <c r="Z55" s="15">
        <f t="shared" ca="1" si="52"/>
        <v>-1.4193634812714115E-2</v>
      </c>
      <c r="AA55" s="14">
        <f t="shared" ca="1" si="53"/>
        <v>16.823476668411413</v>
      </c>
      <c r="AB55" s="15" cm="1">
        <f t="array" ref="AB55">_xll.BDP(J55&amp;" Govt","YLD_YTM_MID")</f>
        <v>4.7350700000000003</v>
      </c>
      <c r="AC55" s="19">
        <v>0.75</v>
      </c>
      <c r="AD55" s="14">
        <f t="shared" ca="1" si="54"/>
        <v>0.31395000000000728</v>
      </c>
      <c r="AE55" s="22">
        <f t="shared" ca="1" si="55"/>
        <v>236.86005636518729</v>
      </c>
      <c r="AF55" s="22" cm="1">
        <f t="array" ref="AF55">(AB55-_xll.BDP(A55&amp;" Govt","YLD_YTM_MID"))*100</f>
        <v>238.27869351544672</v>
      </c>
      <c r="AG55" s="22">
        <f t="shared" ca="1" si="6"/>
        <v>1.4186371502594284</v>
      </c>
      <c r="AI55" s="12">
        <v>6</v>
      </c>
      <c r="AJ55" s="12">
        <v>6</v>
      </c>
      <c r="AL55" s="13">
        <v>0</v>
      </c>
      <c r="AM55" s="13">
        <v>0</v>
      </c>
      <c r="AO55" s="14">
        <f t="shared" ca="1" si="19"/>
        <v>1.3136770583378179</v>
      </c>
      <c r="AP55" s="14">
        <f t="shared" ca="1" si="19"/>
        <v>1.3136770583378179</v>
      </c>
      <c r="AR55" s="5">
        <f t="shared" ca="1" si="7"/>
        <v>2.3796062069315056</v>
      </c>
      <c r="AS55" s="5">
        <f t="shared" ca="1" si="8"/>
        <v>2.3533326657647491</v>
      </c>
      <c r="AT55" cm="1">
        <f t="array" aca="1" ref="AT55" ca="1">_xll.BDP($A55&amp;" Govt","YAS_BOND_PX","YAS_BOND_YLD",AR55,"SETTLE_DT",$A$4)</f>
        <v>60.169063550300557</v>
      </c>
      <c r="AU55" cm="1">
        <f t="array" aca="1" ref="AU55" ca="1">_xll.BDP($A55&amp;" Govt","YAS_BOND_PX","YAS_BOND_YLD",AS55,"SETTLE_DT",$A$4)</f>
        <v>60.542924605090562</v>
      </c>
      <c r="AV55" s="15" t="str">
        <f t="shared" ca="1" si="9"/>
        <v>60-053</v>
      </c>
      <c r="AW55" s="15" t="str">
        <f t="shared" ca="1" si="10"/>
        <v>60-173</v>
      </c>
      <c r="AY55" cm="1">
        <f t="array" ref="AY55">_xll.BDP($A55&amp;" Govt","CBBT_PX_BID")</f>
        <v>60.421875</v>
      </c>
      <c r="AZ55" cm="1">
        <f t="array" ref="AZ55">_xll.BDP($A55&amp;" Govt","CBBT_PX_ASK")</f>
        <v>60.6875</v>
      </c>
      <c r="BA55">
        <f t="shared" si="20"/>
        <v>60.5546875</v>
      </c>
      <c r="BB55" cm="1">
        <f t="array" aca="1" ref="BB55" ca="1">_xll.BDP(A55&amp;" Govt","YAS_BOND_YLD","YAS_BOND_PX",BA55,"SETTLE_DT",$A$4)</f>
        <v>2.352509</v>
      </c>
      <c r="BC55" s="15" t="str">
        <f t="shared" si="21"/>
        <v>60-134</v>
      </c>
      <c r="BD55" s="15" t="str">
        <f t="shared" si="22"/>
        <v>60-220</v>
      </c>
      <c r="BF55" s="4">
        <f t="shared" ca="1" si="23"/>
        <v>60.169063550300557</v>
      </c>
      <c r="BG55" s="4">
        <f t="shared" ca="1" si="24"/>
        <v>60.6875</v>
      </c>
      <c r="BH55" s="26">
        <f t="shared" si="25"/>
        <v>0.25</v>
      </c>
      <c r="BI55" s="17">
        <f t="shared" si="26"/>
        <v>54834</v>
      </c>
      <c r="BJ55" s="34" t="str">
        <f t="shared" ca="1" si="27"/>
        <v>60-053</v>
      </c>
      <c r="BK55" s="35" t="str">
        <f t="shared" ca="1" si="28"/>
        <v>60-220</v>
      </c>
      <c r="BL55" s="18">
        <v>100</v>
      </c>
      <c r="BM55" s="19"/>
      <c r="BN55" s="11" t="s">
        <v>155</v>
      </c>
      <c r="BO55" s="14">
        <f t="shared" ca="1" si="58"/>
        <v>9.0329480166916234</v>
      </c>
      <c r="BP55" s="14">
        <f t="shared" ca="1" si="59"/>
        <v>23.060412385380769</v>
      </c>
      <c r="BQ55" s="11" t="s">
        <v>156</v>
      </c>
      <c r="BR55" s="14">
        <f t="shared" ca="1" si="60"/>
        <v>21.561613305015289</v>
      </c>
      <c r="BS55" s="14">
        <f t="shared" ca="1" si="61"/>
        <v>22.779518350049731</v>
      </c>
      <c r="BT55" s="14">
        <f t="shared" ca="1" si="62"/>
        <v>-13.176796699391666</v>
      </c>
      <c r="BU55" s="21">
        <f t="shared" si="63"/>
        <v>100</v>
      </c>
      <c r="BV55" s="14">
        <f t="shared" ca="1" si="64"/>
        <v>87.192801977882937</v>
      </c>
      <c r="BW55" s="16">
        <f t="shared" ca="1" si="65"/>
        <v>0</v>
      </c>
      <c r="BX55" s="16">
        <f t="shared" ca="1" si="66"/>
        <v>1</v>
      </c>
      <c r="BY55" s="11"/>
      <c r="BZ55" s="11" t="str">
        <f t="shared" si="31"/>
        <v>CT10</v>
      </c>
      <c r="CA55" s="11" t="str">
        <f t="shared" si="32"/>
        <v>CT30</v>
      </c>
      <c r="CB55" s="21">
        <f t="shared" ca="1" si="56"/>
        <v>0</v>
      </c>
      <c r="CC55" s="21">
        <f t="shared" ca="1" si="57"/>
        <v>81.58125844617939</v>
      </c>
    </row>
    <row r="56" spans="1:81" x14ac:dyDescent="0.25">
      <c r="A56" s="19" t="s">
        <v>39</v>
      </c>
      <c r="B56" s="11" cm="1">
        <f t="array" ref="B56">_xll.BDP(A56&amp;" Govt","COUPON")</f>
        <v>0.125</v>
      </c>
      <c r="C56" s="17" cm="1">
        <f t="array" ref="C56">DATEVALUE(_xll.BDP(A56&amp;" Govt","MATURITY"))</f>
        <v>55199</v>
      </c>
      <c r="D56" s="15" cm="1">
        <f t="array" aca="1" ref="D56" ca="1">_xll.BDH(A56&amp;"@BVN4 CUSIP","PX_MID",$A$1,$A$1)</f>
        <v>57.099609375</v>
      </c>
      <c r="E56" s="15" t="str">
        <f t="shared" ca="1" si="13"/>
        <v>57-032</v>
      </c>
      <c r="F56" s="15" cm="1">
        <f t="array" aca="1" ref="F56" ca="1">_xll.BDP(A56&amp;" Govt","YAS_BOND_YLD","YAS_BOND_PX",D56,"SETTLE_DT",$A$2)</f>
        <v>2.3443709999999998</v>
      </c>
      <c r="G56" s="15" cm="1">
        <f t="array" aca="1" ref="G56" ca="1">_xll.BDP(A56&amp;" Govt","REPO_FORWARD_PRICE","REPO_TERM_DATE",$A$4,"PX_ASK="&amp;D56,"SETTLE_DT",$A$2,"REPO_REPORATE="&amp;$A$5)</f>
        <v>57.093952110938311</v>
      </c>
      <c r="H56" s="15" cm="1">
        <f t="array" aca="1" ref="H56" ca="1">_xll.BDP(A56&amp;" Govt","YAS_BOND_YLD","YAS_BOND_PX",G56,"SETTLE_DT",$A$4)</f>
        <v>2.3450009999999999</v>
      </c>
      <c r="I56" s="11"/>
      <c r="J56" s="11" t="str">
        <f>+VLOOKUP(A56,mapping!$A:$B,2,FALSE)</f>
        <v>912810SU3</v>
      </c>
      <c r="K56" s="11" cm="1">
        <f t="array" ref="K56">_xll.BDP(J56&amp;" Govt","COUPON")</f>
        <v>1.875</v>
      </c>
      <c r="L56" s="17" cm="1">
        <f t="array" ref="L56">DATEVALUE(_xll.BDP(J56&amp;" Govt","MATURITY"))</f>
        <v>55199</v>
      </c>
      <c r="M56" s="15" cm="1">
        <f t="array" aca="1" ref="M56" ca="1">_xll.BDH(J56&amp;"@BVN4 CUSIP","PX_MID",$A$1,$A$1)</f>
        <v>57.8359375</v>
      </c>
      <c r="N56" s="15" t="str">
        <f t="shared" ca="1" si="14"/>
        <v>57-266</v>
      </c>
      <c r="O56" s="15" cm="1">
        <f t="array" aca="1" ref="O56" ca="1">_xll.BDP(J56&amp;" Govt","YAS_BOND_YLD","YAS_BOND_PX",M56,"SETTLE_DT",$A$2)</f>
        <v>4.7098449999999996</v>
      </c>
      <c r="P56" s="15" cm="1">
        <f t="array" aca="1" ref="P56" ca="1">_xll.BDP(J56&amp;" Govt","REPO_FORWARD_PRICE","REPO_TERM_DATE",$A$4,"PX_ASK="&amp;M56,"SETTLE_DT",$A$2,"REPO_REPORATE="&amp;$A$5)</f>
        <v>57.837745429885324</v>
      </c>
      <c r="Q56" s="15" cm="1">
        <f t="array" aca="1" ref="Q56" ca="1">_xll.BDP(J56&amp;" Govt","YAS_BOND_YLD","YAS_BOND_PX",P56,"SETTLE_DT",$A$4)</f>
        <v>4.7098899999999997</v>
      </c>
      <c r="R56" s="11"/>
      <c r="S56" s="22">
        <f t="shared" ca="1" si="15"/>
        <v>236.54739999999998</v>
      </c>
      <c r="T56" s="22">
        <f t="shared" ca="1" si="16"/>
        <v>236.48889999999997</v>
      </c>
      <c r="U56" s="15" cm="1">
        <f t="array" ref="U56">_xll.BDP($A56&amp;" Govt","BASE_CPI")</f>
        <v>260.35149999999999</v>
      </c>
      <c r="V56" s="15">
        <f t="shared" ca="1" si="17"/>
        <v>1.21837</v>
      </c>
      <c r="W56" s="14" cm="1">
        <f t="array" ref="W56">_xll.BDP($A56&amp;" Govt","YAS_RISK","YIELD_BETA_ASSUMPTION=1",)</f>
        <v>17.401311913556381</v>
      </c>
      <c r="X56" s="15">
        <f t="shared" ca="1" si="18"/>
        <v>0.12603496970295058</v>
      </c>
      <c r="Y56" s="15">
        <f t="shared" ca="1" si="51"/>
        <v>4.325142055296155E-2</v>
      </c>
      <c r="Z56" s="15">
        <f t="shared" ca="1" si="52"/>
        <v>-1.3387344456868584E-2</v>
      </c>
      <c r="AA56" s="14">
        <f t="shared" ca="1" si="53"/>
        <v>15.679822078051815</v>
      </c>
      <c r="AB56" s="15" cm="1">
        <f t="array" ref="AB56">_xll.BDP(J56&amp;" Govt","YLD_YTM_MID")</f>
        <v>4.7217856000000005</v>
      </c>
      <c r="AC56" s="19">
        <v>0.75</v>
      </c>
      <c r="AD56" s="14">
        <f t="shared" ca="1" si="54"/>
        <v>0.29739000000001958</v>
      </c>
      <c r="AE56" s="22">
        <f t="shared" ca="1" si="55"/>
        <v>236.77290265554311</v>
      </c>
      <c r="AF56" s="22" cm="1">
        <f t="array" ref="AF56">(AB56-_xll.BDP(A56&amp;" Govt","YLD_YTM_MID"))*100</f>
        <v>237.9191612295684</v>
      </c>
      <c r="AG56" s="22">
        <f t="shared" ca="1" si="6"/>
        <v>1.1462585740252962</v>
      </c>
      <c r="AI56" s="12">
        <v>5.5</v>
      </c>
      <c r="AJ56" s="12">
        <v>5.5</v>
      </c>
      <c r="AL56" s="13">
        <v>0</v>
      </c>
      <c r="AM56" s="13">
        <v>0</v>
      </c>
      <c r="AO56" s="14">
        <f t="shared" ca="1" si="19"/>
        <v>1.2033997481929082</v>
      </c>
      <c r="AP56" s="14">
        <f t="shared" ca="1" si="19"/>
        <v>1.2033997481929082</v>
      </c>
      <c r="AR56" s="5">
        <f t="shared" ca="1" si="7"/>
        <v>2.3660905709264988</v>
      </c>
      <c r="AS56" s="5">
        <f t="shared" ca="1" si="8"/>
        <v>2.3420225759626403</v>
      </c>
      <c r="AT56" cm="1">
        <f t="array" aca="1" ref="AT56" ca="1">_xll.BDP($A56&amp;" Govt","YAS_BOND_PX","YAS_BOND_YLD",AR56,"SETTLE_DT",$A$4)</f>
        <v>56.793631474549301</v>
      </c>
      <c r="AU56" cm="1">
        <f t="array" aca="1" ref="AU56" ca="1">_xll.BDP($A56&amp;" Govt","YAS_BOND_PX","YAS_BOND_YLD",AS56,"SETTLE_DT",$A$4)</f>
        <v>57.136495788361977</v>
      </c>
      <c r="AV56" s="15" t="str">
        <f t="shared" ca="1" si="9"/>
        <v>56-253</v>
      </c>
      <c r="AW56" s="15" t="str">
        <f t="shared" ca="1" si="10"/>
        <v>57-043</v>
      </c>
      <c r="AY56" cm="1">
        <f t="array" ref="AY56">_xll.BDP($A56&amp;" Govt","CBBT_PX_BID")</f>
        <v>57.0078125</v>
      </c>
      <c r="AZ56" cm="1">
        <f t="array" ref="AZ56">_xll.BDP($A56&amp;" Govt","CBBT_PX_ASK")</f>
        <v>57.2421875</v>
      </c>
      <c r="BA56">
        <f t="shared" si="20"/>
        <v>57.125</v>
      </c>
      <c r="BB56" cm="1">
        <f t="array" aca="1" ref="BB56" ca="1">_xll.BDP(A56&amp;" Govt","YAS_BOND_YLD","YAS_BOND_PX",BA56,"SETTLE_DT",$A$4)</f>
        <v>2.3428269999999998</v>
      </c>
      <c r="BC56" s="15" t="str">
        <f t="shared" si="21"/>
        <v>57-002</v>
      </c>
      <c r="BD56" s="15" t="str">
        <f t="shared" si="22"/>
        <v>57-076</v>
      </c>
      <c r="BF56" s="4">
        <f t="shared" ca="1" si="23"/>
        <v>56.793631474549301</v>
      </c>
      <c r="BG56" s="4">
        <f t="shared" ca="1" si="24"/>
        <v>57.2421875</v>
      </c>
      <c r="BH56" s="26">
        <f t="shared" si="25"/>
        <v>0.125</v>
      </c>
      <c r="BI56" s="17">
        <f t="shared" si="26"/>
        <v>55199</v>
      </c>
      <c r="BJ56" s="34" t="str">
        <f t="shared" ca="1" si="27"/>
        <v>56-253</v>
      </c>
      <c r="BK56" s="35" t="str">
        <f t="shared" ca="1" si="28"/>
        <v>57-076</v>
      </c>
      <c r="BL56" s="18">
        <v>100</v>
      </c>
      <c r="BM56" s="19"/>
      <c r="BN56" s="11" t="s">
        <v>155</v>
      </c>
      <c r="BO56" s="14">
        <f t="shared" ca="1" si="58"/>
        <v>9.0329480166916234</v>
      </c>
      <c r="BP56" s="14">
        <f t="shared" ca="1" si="59"/>
        <v>23.060412385380769</v>
      </c>
      <c r="BQ56" s="11" t="s">
        <v>156</v>
      </c>
      <c r="BR56" s="14">
        <f t="shared" ca="1" si="60"/>
        <v>21.561613305015289</v>
      </c>
      <c r="BS56" s="14">
        <f t="shared" ca="1" si="61"/>
        <v>22.779518350049731</v>
      </c>
      <c r="BT56" s="14">
        <f t="shared" ca="1" si="62"/>
        <v>-20.007049436995274</v>
      </c>
      <c r="BU56" s="21">
        <f t="shared" si="63"/>
        <v>100</v>
      </c>
      <c r="BV56" s="14">
        <f t="shared" ca="1" si="64"/>
        <v>89.086739554901499</v>
      </c>
      <c r="BW56" s="16">
        <f t="shared" ca="1" si="65"/>
        <v>0</v>
      </c>
      <c r="BX56" s="16">
        <f t="shared" ca="1" si="66"/>
        <v>1</v>
      </c>
      <c r="BY56" s="11"/>
      <c r="BZ56" s="11" t="str">
        <f t="shared" si="31"/>
        <v>CT10</v>
      </c>
      <c r="CA56" s="11" t="str">
        <f t="shared" si="32"/>
        <v>CT30</v>
      </c>
      <c r="CB56" s="21">
        <f t="shared" ca="1" si="56"/>
        <v>0</v>
      </c>
      <c r="CC56" s="21">
        <f t="shared" ca="1" si="57"/>
        <v>80.614835038912005</v>
      </c>
    </row>
    <row r="57" spans="1:81" x14ac:dyDescent="0.25">
      <c r="A57" s="19" t="s">
        <v>29</v>
      </c>
      <c r="B57" s="11" cm="1">
        <f t="array" ref="B57">_xll.BDP(A57&amp;" Govt","COUPON")</f>
        <v>0.125</v>
      </c>
      <c r="C57" s="17" cm="1">
        <f t="array" ref="C57">DATEVALUE(_xll.BDP(A57&amp;" Govt","MATURITY"))</f>
        <v>55564</v>
      </c>
      <c r="D57" s="15" cm="1">
        <f t="array" aca="1" ref="D57" ca="1">_xll.BDH(A57&amp;"@BVN4 CUSIP","PX_MID",$A$1,$A$1)</f>
        <v>56.21484375</v>
      </c>
      <c r="E57" s="15" t="str">
        <f t="shared" ca="1" si="13"/>
        <v>56-067</v>
      </c>
      <c r="F57" s="15" cm="1">
        <f t="array" aca="1" ref="F57" ca="1">_xll.BDP(A57&amp;" Govt","YAS_BOND_YLD","YAS_BOND_PX",D57,"SETTLE_DT",$A$2)</f>
        <v>2.3232080000000002</v>
      </c>
      <c r="G57" s="15" cm="1">
        <f t="array" aca="1" ref="G57" ca="1">_xll.BDP(A57&amp;" Govt","REPO_FORWARD_PRICE","REPO_TERM_DATE",$A$4,"PX_ASK="&amp;D57,"SETTLE_DT",$A$2,"REPO_REPORATE="&amp;$A$5)</f>
        <v>56.209425070920254</v>
      </c>
      <c r="H57" s="15" cm="1">
        <f t="array" aca="1" ref="H57" ca="1">_xll.BDP(A57&amp;" Govt","YAS_BOND_YLD","YAS_BOND_PX",G57,"SETTLE_DT",$A$4)</f>
        <v>2.3238020000000001</v>
      </c>
      <c r="I57" s="11"/>
      <c r="J57" s="11" t="str">
        <f>+VLOOKUP(A57,mapping!$A:$B,2,FALSE)</f>
        <v>912810TD0</v>
      </c>
      <c r="K57" s="11" cm="1">
        <f t="array" ref="K57">_xll.BDP(J57&amp;" Govt","COUPON")</f>
        <v>2.25</v>
      </c>
      <c r="L57" s="17" cm="1">
        <f t="array" ref="L57">DATEVALUE(_xll.BDP(J57&amp;" Govt","MATURITY"))</f>
        <v>55564</v>
      </c>
      <c r="M57" s="15" cm="1">
        <f t="array" aca="1" ref="M57" ca="1">_xll.BDH(J57&amp;"@BVN4 CUSIP","PX_MID",$A$1,$A$1)</f>
        <v>62.90625</v>
      </c>
      <c r="N57" s="15" t="str">
        <f t="shared" ca="1" si="14"/>
        <v>62-290</v>
      </c>
      <c r="O57" s="15" cm="1">
        <f t="array" aca="1" ref="O57" ca="1">_xll.BDP(J57&amp;" Govt","YAS_BOND_YLD","YAS_BOND_PX",M57,"SETTLE_DT",$A$2)</f>
        <v>4.6915399999999998</v>
      </c>
      <c r="P57" s="15" cm="1">
        <f t="array" aca="1" ref="P57" ca="1">_xll.BDP(J57&amp;" Govt","REPO_FORWARD_PRICE","REPO_TERM_DATE",$A$4,"PX_ASK="&amp;M57,"SETTLE_DT",$A$2,"REPO_REPORATE="&amp;$A$5)</f>
        <v>62.907637183831142</v>
      </c>
      <c r="Q57" s="15" cm="1">
        <f t="array" aca="1" ref="Q57" ca="1">_xll.BDP(J57&amp;" Govt","YAS_BOND_YLD","YAS_BOND_PX",P57,"SETTLE_DT",$A$4)</f>
        <v>4.6915829999999996</v>
      </c>
      <c r="R57" s="11"/>
      <c r="S57" s="22">
        <f t="shared" ca="1" si="15"/>
        <v>236.83319999999998</v>
      </c>
      <c r="T57" s="22">
        <f t="shared" ca="1" si="16"/>
        <v>236.77809999999994</v>
      </c>
      <c r="U57" s="15" cm="1">
        <f t="array" ref="U57">_xll.BDP($A57&amp;" Govt","BASE_CPI")</f>
        <v>278.375</v>
      </c>
      <c r="V57" s="15">
        <f t="shared" ca="1" si="17"/>
        <v>1.1394899999999999</v>
      </c>
      <c r="W57" s="14" cm="1">
        <f t="array" ref="W57">_xll.BDP($A57&amp;" Govt","YAS_RISK","YIELD_BETA_ASSUMPTION=1",)</f>
        <v>16.630157794675561</v>
      </c>
      <c r="X57" s="15">
        <f t="shared" ca="1" si="18"/>
        <v>0.12142955621160498</v>
      </c>
      <c r="Y57" s="15">
        <f t="shared" ca="1" si="51"/>
        <v>4.1670980805136482E-2</v>
      </c>
      <c r="Z57" s="15">
        <f t="shared" ca="1" si="52"/>
        <v>-1.2898160725398936E-2</v>
      </c>
      <c r="AA57" s="14">
        <f t="shared" ca="1" si="53"/>
        <v>14.437395546839921</v>
      </c>
      <c r="AB57" s="15" cm="1">
        <f t="array" ref="AB57">_xll.BDP(J57&amp;" Govt","YLD_YTM_MID")</f>
        <v>4.7020015092954672</v>
      </c>
      <c r="AC57" s="19">
        <v>0.75</v>
      </c>
      <c r="AD57" s="14">
        <f t="shared" ca="1" si="54"/>
        <v>0.26046273238669038</v>
      </c>
      <c r="AE57" s="22">
        <f t="shared" ca="1" si="55"/>
        <v>237.02566457166122</v>
      </c>
      <c r="AF57" s="22" cm="1">
        <f t="array" ref="AF57">(AB57-_xll.BDP(A57&amp;" Govt","YLD_YTM_MID"))*100</f>
        <v>238.20050979808033</v>
      </c>
      <c r="AG57" s="22">
        <f t="shared" ca="1" si="6"/>
        <v>1.1748452264191087</v>
      </c>
      <c r="AI57" s="12">
        <v>5.5</v>
      </c>
      <c r="AJ57" s="12">
        <v>5.5</v>
      </c>
      <c r="AL57" s="13">
        <v>0</v>
      </c>
      <c r="AM57" s="13">
        <v>0</v>
      </c>
      <c r="AO57" s="14">
        <f t="shared" ca="1" si="19"/>
        <v>1.1776788059864638</v>
      </c>
      <c r="AP57" s="14">
        <f t="shared" ca="1" si="19"/>
        <v>1.1776788059864638</v>
      </c>
      <c r="AR57" s="5">
        <f t="shared" ca="1" si="7"/>
        <v>2.3435216516387198</v>
      </c>
      <c r="AS57" s="5">
        <f t="shared" ca="1" si="8"/>
        <v>2.3199680755189904</v>
      </c>
      <c r="AT57" cm="1">
        <f t="array" aca="1" ref="AT57" ca="1">_xll.BDP($A57&amp;" Govt","YAS_BOND_PX","YAS_BOND_YLD",AR57,"SETTLE_DT",$A$4)</f>
        <v>55.922573017343645</v>
      </c>
      <c r="AU57" cm="1">
        <f t="array" aca="1" ref="AU57" ca="1">_xll.BDP($A57&amp;" Govt","YAS_BOND_PX","YAS_BOND_YLD",AS57,"SETTLE_DT",$A$4)</f>
        <v>56.265373044963162</v>
      </c>
      <c r="AV57" s="15" t="str">
        <f t="shared" ca="1" si="9"/>
        <v>55-294</v>
      </c>
      <c r="AW57" s="15" t="str">
        <f t="shared" ca="1" si="10"/>
        <v>56-084</v>
      </c>
      <c r="AY57" cm="1">
        <f t="array" ref="AY57">_xll.BDP($A57&amp;" Govt","CBBT_PX_BID")</f>
        <v>56.140625</v>
      </c>
      <c r="AZ57" cm="1">
        <f t="array" ref="AZ57">_xll.BDP($A57&amp;" Govt","CBBT_PX_ASK")</f>
        <v>56.3828125</v>
      </c>
      <c r="BA57">
        <f t="shared" si="20"/>
        <v>56.26171875</v>
      </c>
      <c r="BB57" cm="1">
        <f t="array" aca="1" ref="BB57" ca="1">_xll.BDP(A57&amp;" Govt","YAS_BOND_YLD","YAS_BOND_PX",BA57,"SETTLE_DT",$A$4)</f>
        <v>2.3202180000000001</v>
      </c>
      <c r="BC57" s="15" t="str">
        <f t="shared" si="21"/>
        <v>56-044</v>
      </c>
      <c r="BD57" s="15" t="str">
        <f t="shared" si="22"/>
        <v>56-122</v>
      </c>
      <c r="BF57" s="4">
        <f t="shared" ca="1" si="23"/>
        <v>55.922573017343645</v>
      </c>
      <c r="BG57" s="4">
        <f t="shared" ca="1" si="24"/>
        <v>56.3828125</v>
      </c>
      <c r="BH57" s="26">
        <f t="shared" si="25"/>
        <v>0.125</v>
      </c>
      <c r="BI57" s="17">
        <f t="shared" si="26"/>
        <v>55564</v>
      </c>
      <c r="BJ57" s="34" t="str">
        <f t="shared" ca="1" si="27"/>
        <v>55-294</v>
      </c>
      <c r="BK57" s="35" t="str">
        <f t="shared" ca="1" si="28"/>
        <v>56-122</v>
      </c>
      <c r="BL57" s="18">
        <v>100</v>
      </c>
      <c r="BM57" s="19"/>
      <c r="BN57" s="11" t="s">
        <v>155</v>
      </c>
      <c r="BO57" s="14">
        <f t="shared" ca="1" si="58"/>
        <v>9.0329480166916234</v>
      </c>
      <c r="BP57" s="14">
        <f t="shared" ca="1" si="59"/>
        <v>23.060412385380769</v>
      </c>
      <c r="BQ57" s="11" t="s">
        <v>156</v>
      </c>
      <c r="BR57" s="14">
        <f t="shared" ca="1" si="60"/>
        <v>21.561613305015289</v>
      </c>
      <c r="BS57" s="14">
        <f t="shared" ca="1" si="61"/>
        <v>22.779518350049731</v>
      </c>
      <c r="BT57" s="14">
        <f t="shared" ca="1" si="62"/>
        <v>-23.17125963152759</v>
      </c>
      <c r="BU57" s="21">
        <f t="shared" si="63"/>
        <v>100</v>
      </c>
      <c r="BV57" s="14">
        <f t="shared" ca="1" si="64"/>
        <v>86.835828873941594</v>
      </c>
      <c r="BW57" s="16">
        <f t="shared" ca="1" si="65"/>
        <v>0</v>
      </c>
      <c r="BX57" s="16">
        <f t="shared" ca="1" si="66"/>
        <v>1</v>
      </c>
      <c r="BY57" s="11"/>
      <c r="BZ57" s="11" t="str">
        <f t="shared" si="31"/>
        <v>CT10</v>
      </c>
      <c r="CA57" s="11" t="str">
        <f t="shared" si="32"/>
        <v>CT30</v>
      </c>
      <c r="CB57" s="21">
        <f t="shared" ca="1" si="56"/>
        <v>0</v>
      </c>
      <c r="CC57" s="21">
        <f t="shared" ca="1" si="57"/>
        <v>77.042319219876276</v>
      </c>
    </row>
    <row r="58" spans="1:81" x14ac:dyDescent="0.25">
      <c r="A58" s="19" t="s">
        <v>19</v>
      </c>
      <c r="B58" s="11" cm="1">
        <f t="array" ref="B58">_xll.BDP(A58&amp;" Govt","COUPON")</f>
        <v>1.5</v>
      </c>
      <c r="C58" s="17" cm="1">
        <f t="array" ref="C58">DATEVALUE(_xll.BDP(A58&amp;" Govt","MATURITY"))</f>
        <v>55930</v>
      </c>
      <c r="D58" s="15" cm="1">
        <f t="array" aca="1" ref="D58" ca="1">_xll.BDH(A58&amp;"@BVN4 CUSIP","PX_MID",$A$1,$A$1)</f>
        <v>82.60546875</v>
      </c>
      <c r="E58" s="15" t="str">
        <f t="shared" ca="1" si="13"/>
        <v>82-193</v>
      </c>
      <c r="F58" s="15" cm="1">
        <f t="array" aca="1" ref="F58" ca="1">_xll.BDP(A58&amp;" Govt","YAS_BOND_YLD","YAS_BOND_PX",D58,"SETTLE_DT",$A$2)</f>
        <v>2.35399</v>
      </c>
      <c r="G58" s="15" cm="1">
        <f t="array" aca="1" ref="G58" ca="1">_xll.BDP(A58&amp;" Govt","REPO_FORWARD_PRICE","REPO_TERM_DATE",$A$4,"PX_ASK="&amp;D58,"SETTLE_DT",$A$2,"REPO_REPORATE="&amp;$A$5)</f>
        <v>82.593451210668292</v>
      </c>
      <c r="H58" s="15" cm="1">
        <f t="array" aca="1" ref="H58" ca="1">_xll.BDP(A58&amp;" Govt","YAS_BOND_YLD","YAS_BOND_PX",G58,"SETTLE_DT",$A$4)</f>
        <v>2.3547169999999999</v>
      </c>
      <c r="I58" s="11"/>
      <c r="J58" s="11" t="str">
        <f>+VLOOKUP(A58,mapping!$A:$B,2,FALSE)</f>
        <v>912810TN8</v>
      </c>
      <c r="K58" s="11" cm="1">
        <f t="array" ref="K58">_xll.BDP(J58&amp;" Govt","COUPON")</f>
        <v>3.625</v>
      </c>
      <c r="L58" s="17" cm="1">
        <f t="array" ref="L58">DATEVALUE(_xll.BDP(J58&amp;" Govt","MATURITY"))</f>
        <v>55930</v>
      </c>
      <c r="M58" s="15" cm="1">
        <f t="array" aca="1" ref="M58" ca="1">_xll.BDH(J58&amp;"@BVN4 CUSIP","PX_MID",$A$1,$A$1)</f>
        <v>84.03125</v>
      </c>
      <c r="N58" s="15" t="str">
        <f t="shared" ca="1" si="14"/>
        <v>84-010</v>
      </c>
      <c r="O58" s="15" cm="1">
        <f t="array" aca="1" ref="O58" ca="1">_xll.BDP(J58&amp;" Govt","YAS_BOND_YLD","YAS_BOND_PX",M58,"SETTLE_DT",$A$2)</f>
        <v>4.652647</v>
      </c>
      <c r="P58" s="15" cm="1">
        <f t="array" aca="1" ref="P58" ca="1">_xll.BDP(J58&amp;" Govt","REPO_FORWARD_PRICE","REPO_TERM_DATE",$A$4,"PX_ASK="&amp;M58,"SETTLE_DT",$A$2,"REPO_REPORATE="&amp;$A$5)</f>
        <v>84.031399566571707</v>
      </c>
      <c r="Q58" s="15" cm="1">
        <f t="array" aca="1" ref="Q58" ca="1">_xll.BDP(J58&amp;" Govt","YAS_BOND_YLD","YAS_BOND_PX",P58,"SETTLE_DT",$A$4)</f>
        <v>4.6526880000000004</v>
      </c>
      <c r="R58" s="11"/>
      <c r="S58" s="22">
        <f t="shared" ca="1" si="15"/>
        <v>229.8657</v>
      </c>
      <c r="T58" s="22">
        <f t="shared" ca="1" si="16"/>
        <v>229.79710000000006</v>
      </c>
      <c r="U58" s="15" cm="1">
        <f t="array" ref="U58">_xll.BDP($A58&amp;" Govt","BASE_CPI")</f>
        <v>297.25400000000002</v>
      </c>
      <c r="V58" s="15">
        <f t="shared" ca="1" si="17"/>
        <v>1.0671200000000001</v>
      </c>
      <c r="W58" s="14" cm="1">
        <f t="array" ref="W58">_xll.BDP($A58&amp;" Govt","YAS_RISK","YIELD_BETA_ASSUMPTION=1",)</f>
        <v>19.401601346809919</v>
      </c>
      <c r="X58" s="15">
        <f t="shared" ca="1" si="18"/>
        <v>0.14323314102070969</v>
      </c>
      <c r="Y58" s="15">
        <f t="shared" ca="1" si="51"/>
        <v>4.9153317004076949E-2</v>
      </c>
      <c r="Z58" s="15">
        <f t="shared" ca="1" si="52"/>
        <v>-1.521412192983281E-2</v>
      </c>
      <c r="AA58" s="14">
        <f t="shared" ca="1" si="53"/>
        <v>19.867772112218212</v>
      </c>
      <c r="AB58" s="15" cm="1">
        <f t="array" ref="AB58">_xll.BDP(J58&amp;" Govt","YLD_YTM_MID")</f>
        <v>4.6645738631745015</v>
      </c>
      <c r="AC58" s="19">
        <v>0.75</v>
      </c>
      <c r="AD58" s="14">
        <f t="shared" ca="1" si="54"/>
        <v>0.29714657936252831</v>
      </c>
      <c r="AE58" s="22">
        <f t="shared" ca="1" si="55"/>
        <v>230.07903245743276</v>
      </c>
      <c r="AF58" s="22" cm="1">
        <f t="array" ref="AF58">(AB58-_xll.BDP(A58&amp;" Govt","YLD_YTM_MID"))*100</f>
        <v>231.46626778084251</v>
      </c>
      <c r="AG58" s="22">
        <f t="shared" ca="1" si="6"/>
        <v>1.3872353234097545</v>
      </c>
      <c r="AI58" s="12">
        <v>5.5</v>
      </c>
      <c r="AJ58" s="12">
        <v>5.5</v>
      </c>
      <c r="AL58" s="13">
        <v>0</v>
      </c>
      <c r="AM58" s="13">
        <v>0</v>
      </c>
      <c r="AO58" s="14">
        <f t="shared" ca="1" si="19"/>
        <v>0.94534078255430787</v>
      </c>
      <c r="AP58" s="14">
        <f t="shared" ca="1" si="19"/>
        <v>0.94534078255430787</v>
      </c>
      <c r="AR58" s="5">
        <f t="shared" ca="1" si="7"/>
        <v>2.3732369464257173</v>
      </c>
      <c r="AS58" s="5">
        <f t="shared" ca="1" si="8"/>
        <v>2.3543301307746307</v>
      </c>
      <c r="AT58" cm="1">
        <f t="array" aca="1" ref="AT58" ca="1">_xll.BDP($A58&amp;" Govt","YAS_BOND_PX","YAS_BOND_YLD",AR58,"SETTLE_DT",$A$4)</f>
        <v>82.257545069647989</v>
      </c>
      <c r="AU58" cm="1">
        <f t="array" aca="1" ref="AU58" ca="1">_xll.BDP($A58&amp;" Govt","YAS_BOND_PX","YAS_BOND_YLD",AS58,"SETTLE_DT",$A$4)</f>
        <v>82.600492464363825</v>
      </c>
      <c r="AV58" s="15" t="str">
        <f t="shared" ca="1" si="9"/>
        <v>82-082</v>
      </c>
      <c r="AW58" s="15" t="str">
        <f t="shared" ca="1" si="10"/>
        <v>82-192</v>
      </c>
      <c r="AY58" cm="1">
        <f t="array" ref="AY58">_xll.BDP($A58&amp;" Govt","CBBT_PX_BID")</f>
        <v>82.5859375</v>
      </c>
      <c r="AZ58" cm="1">
        <f t="array" ref="AZ58">_xll.BDP($A58&amp;" Govt","CBBT_PX_ASK")</f>
        <v>82.7734375</v>
      </c>
      <c r="BA58">
        <f t="shared" si="20"/>
        <v>82.6796875</v>
      </c>
      <c r="BB58" cm="1">
        <f t="array" aca="1" ref="BB58" ca="1">_xll.BDP(A58&amp;" Govt","YAS_BOND_YLD","YAS_BOND_PX",BA58,"SETTLE_DT",$A$4)</f>
        <v>2.349977</v>
      </c>
      <c r="BC58" s="15" t="str">
        <f t="shared" si="21"/>
        <v>82-186</v>
      </c>
      <c r="BD58" s="15" t="str">
        <f t="shared" si="22"/>
        <v>82-246</v>
      </c>
      <c r="BF58" s="4">
        <f t="shared" ca="1" si="23"/>
        <v>82.257545069647989</v>
      </c>
      <c r="BG58" s="4">
        <f t="shared" ca="1" si="24"/>
        <v>82.7734375</v>
      </c>
      <c r="BH58" s="26">
        <f t="shared" si="25"/>
        <v>1.5</v>
      </c>
      <c r="BI58" s="17">
        <f t="shared" si="26"/>
        <v>55930</v>
      </c>
      <c r="BJ58" s="34" t="str">
        <f t="shared" ca="1" si="27"/>
        <v>82-082</v>
      </c>
      <c r="BK58" s="35" t="str">
        <f t="shared" ca="1" si="28"/>
        <v>82-246</v>
      </c>
      <c r="BL58" s="18">
        <v>100</v>
      </c>
      <c r="BM58" s="19"/>
      <c r="BN58" s="11" t="s">
        <v>155</v>
      </c>
      <c r="BO58" s="14">
        <f t="shared" ca="1" si="58"/>
        <v>9.0329480166916234</v>
      </c>
      <c r="BP58" s="14">
        <f t="shared" ca="1" si="59"/>
        <v>23.060412385380769</v>
      </c>
      <c r="BQ58" s="11" t="s">
        <v>156</v>
      </c>
      <c r="BR58" s="14">
        <f t="shared" ca="1" si="60"/>
        <v>21.561613305015289</v>
      </c>
      <c r="BS58" s="14">
        <f t="shared" ca="1" si="61"/>
        <v>22.779518350049731</v>
      </c>
      <c r="BT58" s="14">
        <f t="shared" ca="1" si="62"/>
        <v>-4.6586899377468427</v>
      </c>
      <c r="BU58" s="21">
        <f t="shared" si="63"/>
        <v>100</v>
      </c>
      <c r="BV58" s="14">
        <f t="shared" ca="1" si="64"/>
        <v>91.933836799376635</v>
      </c>
      <c r="BW58" s="16">
        <f t="shared" ca="1" si="65"/>
        <v>0</v>
      </c>
      <c r="BX58" s="16">
        <f t="shared" ca="1" si="66"/>
        <v>1</v>
      </c>
      <c r="BY58" s="11"/>
      <c r="BZ58" s="11" t="str">
        <f t="shared" si="31"/>
        <v>CT10</v>
      </c>
      <c r="CA58" s="11" t="str">
        <f t="shared" si="32"/>
        <v>CT30</v>
      </c>
      <c r="CB58" s="21">
        <f t="shared" ca="1" si="56"/>
        <v>0</v>
      </c>
      <c r="CC58" s="21">
        <f t="shared" ca="1" si="57"/>
        <v>89.881550301121038</v>
      </c>
    </row>
    <row r="59" spans="1:81" x14ac:dyDescent="0.25">
      <c r="A59" s="19" t="s">
        <v>9</v>
      </c>
      <c r="B59" s="11" cm="1">
        <f t="array" ref="B59">_xll.BDP(A59&amp;" Govt","COUPON")</f>
        <v>2.125</v>
      </c>
      <c r="C59" s="17" cm="1">
        <f t="array" ref="C59">DATEVALUE(_xll.BDP(A59&amp;" Govt","MATURITY"))</f>
        <v>56295</v>
      </c>
      <c r="D59" s="15" cm="1">
        <f t="array" aca="1" ref="D59" ca="1">_xll.BDH(A59&amp;"@BVN4 CUSIP","PX_MID",$A$1,$A$1)</f>
        <v>95.283203125</v>
      </c>
      <c r="E59" s="15" t="str">
        <f t="shared" ca="1" si="13"/>
        <v>95-091</v>
      </c>
      <c r="F59" s="15" cm="1">
        <f t="array" aca="1" ref="F59" ca="1">_xll.BDP(A59&amp;" Govt","YAS_BOND_YLD","YAS_BOND_PX",D59,"SETTLE_DT",$A$2)</f>
        <v>2.3507660000000001</v>
      </c>
      <c r="G59" s="15" cm="1">
        <f t="array" aca="1" ref="G59" ca="1">_xll.BDP(A59&amp;" Govt","REPO_FORWARD_PRICE","REPO_TERM_DATE",$A$4,"PX_ASK="&amp;D59,"SETTLE_DT",$A$2,"REPO_REPORATE="&amp;$A$5)</f>
        <v>95.269426573127831</v>
      </c>
      <c r="H59" s="15" cm="1">
        <f t="array" aca="1" ref="H59" ca="1">_xll.BDP(A59&amp;" Govt","YAS_BOND_YLD","YAS_BOND_PX",G59,"SETTLE_DT",$A$4)</f>
        <v>2.3514599999999999</v>
      </c>
      <c r="I59" s="11"/>
      <c r="J59" s="11" t="str">
        <f>+VLOOKUP(A59,mapping!$A:$B,2,FALSE)</f>
        <v>912810TX6</v>
      </c>
      <c r="K59" s="11" cm="1">
        <f t="array" ref="K59">_xll.BDP(J59&amp;" Govt","COUPON")</f>
        <v>4.25</v>
      </c>
      <c r="L59" s="17" cm="1">
        <f t="array" ref="L59">DATEVALUE(_xll.BDP(J59&amp;" Govt","MATURITY"))</f>
        <v>56295</v>
      </c>
      <c r="M59" s="15" cm="1">
        <f t="array" aca="1" ref="M59" ca="1">_xll.BDH(J59&amp;"@BVN4 CUSIP","PX_MID",$A$1,$A$1)</f>
        <v>94.046875</v>
      </c>
      <c r="N59" s="15" t="str">
        <f t="shared" ca="1" si="14"/>
        <v>94-014</v>
      </c>
      <c r="O59" s="15" cm="1">
        <f t="array" aca="1" ref="O59" ca="1">_xll.BDP(J59&amp;" Govt","YAS_BOND_YLD","YAS_BOND_PX",M59,"SETTLE_DT",$A$2)</f>
        <v>4.6252779999999998</v>
      </c>
      <c r="P59" s="15" cm="1">
        <f t="array" aca="1" ref="P59" ca="1">_xll.BDP(J59&amp;" Govt","REPO_FORWARD_PRICE","REPO_TERM_DATE",$A$4,"PX_ASK="&amp;M59,"SETTLE_DT",$A$2,"REPO_REPORATE="&amp;$A$5)</f>
        <v>94.04651178777479</v>
      </c>
      <c r="Q59" s="15" cm="1">
        <f t="array" aca="1" ref="Q59" ca="1">_xll.BDP(J59&amp;" Govt","YAS_BOND_YLD","YAS_BOND_PX",P59,"SETTLE_DT",$A$4)</f>
        <v>4.6253149999999996</v>
      </c>
      <c r="R59" s="11"/>
      <c r="S59" s="22">
        <f t="shared" ca="1" si="15"/>
        <v>227.45119999999997</v>
      </c>
      <c r="T59" s="22">
        <f t="shared" ca="1" si="16"/>
        <v>227.38549999999998</v>
      </c>
      <c r="U59" s="15" cm="1">
        <f t="array" ref="U59">_xll.BDP($A59&amp;" Govt","BASE_CPI")</f>
        <v>306.90375999999998</v>
      </c>
      <c r="V59" s="15">
        <f t="shared" ca="1" si="17"/>
        <v>1.03356</v>
      </c>
      <c r="W59" s="14" cm="1">
        <f t="array" ref="W59">_xll.BDP($A59&amp;" Govt","YAS_RISK","YIELD_BETA_ASSUMPTION=1",)</f>
        <v>20.949135313259816</v>
      </c>
      <c r="X59" s="15">
        <f t="shared" ca="1" si="18"/>
        <v>0.14819994321452576</v>
      </c>
      <c r="Y59" s="15">
        <f t="shared" ca="1" si="51"/>
        <v>5.0857774512928805E-2</v>
      </c>
      <c r="Z59" s="15">
        <f t="shared" ca="1" si="52"/>
        <v>-1.5741692111144082E-2</v>
      </c>
      <c r="AA59" s="14">
        <f t="shared" ca="1" si="53"/>
        <v>22.196383333387541</v>
      </c>
      <c r="AB59" s="15" cm="1">
        <f t="array" ref="AB59">_xll.BDP(J59&amp;" Govt","YLD_YTM_MID")</f>
        <v>4.6381643085164024</v>
      </c>
      <c r="AC59" s="19">
        <v>0.75</v>
      </c>
      <c r="AD59" s="14">
        <f t="shared" ca="1" si="54"/>
        <v>0.32123271291006894</v>
      </c>
      <c r="AE59" s="22">
        <f t="shared" ca="1" si="55"/>
        <v>227.69099102079892</v>
      </c>
      <c r="AF59" s="22" cm="1">
        <f t="array" ref="AF59">(AB59-_xll.BDP(A59&amp;" Govt","YLD_YTM_MID"))*100</f>
        <v>229.17296330045028</v>
      </c>
      <c r="AG59" s="22">
        <f t="shared" ca="1" si="6"/>
        <v>1.4819722796513588</v>
      </c>
      <c r="AI59" s="12">
        <v>5</v>
      </c>
      <c r="AJ59" s="12">
        <v>5</v>
      </c>
      <c r="AL59" s="13">
        <v>0</v>
      </c>
      <c r="AM59" s="13">
        <v>0</v>
      </c>
      <c r="AO59" s="14">
        <f t="shared" ca="1" si="19"/>
        <v>0.77088503933516561</v>
      </c>
      <c r="AP59" s="14">
        <f t="shared" ca="1" si="19"/>
        <v>0.77088503933516561</v>
      </c>
      <c r="AR59" s="5">
        <f t="shared" ca="1" si="7"/>
        <v>2.3689632487017649</v>
      </c>
      <c r="AS59" s="5">
        <f t="shared" ca="1" si="8"/>
        <v>2.3535455479150613</v>
      </c>
      <c r="AT59" cm="1">
        <f t="array" aca="1" ref="AT59" ca="1">_xll.BDP($A59&amp;" Govt","YAS_BOND_PX","YAS_BOND_YLD",AR59,"SETTLE_DT",$A$4)</f>
        <v>94.91539328159763</v>
      </c>
      <c r="AU59" cm="1">
        <f t="array" aca="1" ref="AU59" ca="1">_xll.BDP($A59&amp;" Govt","YAS_BOND_PX","YAS_BOND_YLD",AS59,"SETTLE_DT",$A$4)</f>
        <v>95.227166296580194</v>
      </c>
      <c r="AV59" s="15" t="str">
        <f t="shared" ca="1" si="9"/>
        <v>94-292</v>
      </c>
      <c r="AW59" s="15" t="str">
        <f t="shared" ca="1" si="10"/>
        <v>95-072</v>
      </c>
      <c r="AY59" cm="1">
        <f t="array" ref="AY59">_xll.BDP($A59&amp;" Govt","CBBT_PX_BID")</f>
        <v>95.2890625</v>
      </c>
      <c r="AZ59" cm="1">
        <f t="array" ref="AZ59">_xll.BDP($A59&amp;" Govt","CBBT_PX_ASK")</f>
        <v>95.453125</v>
      </c>
      <c r="BA59">
        <f t="shared" si="20"/>
        <v>95.37109375</v>
      </c>
      <c r="BB59" cm="1">
        <f t="array" aca="1" ref="BB59" ca="1">_xll.BDP(A59&amp;" Govt","YAS_BOND_YLD","YAS_BOND_PX",BA59,"SETTLE_DT",$A$4)</f>
        <v>2.3464489999999998</v>
      </c>
      <c r="BC59" s="15" t="str">
        <f t="shared" si="21"/>
        <v>95-092</v>
      </c>
      <c r="BD59" s="15" t="str">
        <f t="shared" si="22"/>
        <v>95-144</v>
      </c>
      <c r="BF59" s="4">
        <f t="shared" ca="1" si="23"/>
        <v>94.91539328159763</v>
      </c>
      <c r="BG59" s="4">
        <f t="shared" ca="1" si="24"/>
        <v>95.453125</v>
      </c>
      <c r="BH59" s="26">
        <f t="shared" si="25"/>
        <v>2.125</v>
      </c>
      <c r="BI59" s="17">
        <f t="shared" si="26"/>
        <v>56295</v>
      </c>
      <c r="BJ59" s="34" t="str">
        <f t="shared" ca="1" si="27"/>
        <v>94-292</v>
      </c>
      <c r="BK59" s="35" t="str">
        <f t="shared" ca="1" si="28"/>
        <v>95-144</v>
      </c>
      <c r="BL59" s="18">
        <v>100</v>
      </c>
      <c r="BM59" s="19"/>
      <c r="BN59" s="11" t="s">
        <v>155</v>
      </c>
      <c r="BO59" s="14">
        <f t="shared" ca="1" si="58"/>
        <v>9.0329480166916234</v>
      </c>
      <c r="BP59" s="14">
        <f t="shared" ca="1" si="59"/>
        <v>23.060412385380769</v>
      </c>
      <c r="BQ59" s="11" t="s">
        <v>156</v>
      </c>
      <c r="BR59" s="14">
        <f t="shared" ca="1" si="60"/>
        <v>21.561613305015289</v>
      </c>
      <c r="BS59" s="14">
        <f t="shared" ca="1" si="61"/>
        <v>22.779518350049731</v>
      </c>
      <c r="BT59" s="14">
        <f t="shared" ca="1" si="62"/>
        <v>0.47301609636578235</v>
      </c>
      <c r="BU59" s="21">
        <f t="shared" si="63"/>
        <v>100</v>
      </c>
      <c r="BV59" s="14">
        <f t="shared" ca="1" si="64"/>
        <v>96.961241811630231</v>
      </c>
      <c r="BW59" s="16">
        <f t="shared" ca="1" si="65"/>
        <v>2.0395733502308663E-3</v>
      </c>
      <c r="BX59" s="16">
        <f t="shared" ca="1" si="66"/>
        <v>0.99796042664976914</v>
      </c>
      <c r="BY59" s="11"/>
      <c r="BZ59" s="11" t="str">
        <f t="shared" si="31"/>
        <v>CT10</v>
      </c>
      <c r="CA59" s="11" t="str">
        <f t="shared" si="32"/>
        <v>CT30</v>
      </c>
      <c r="CB59" s="21">
        <f t="shared" ca="1" si="56"/>
        <v>0.39362495038970013</v>
      </c>
      <c r="CC59" s="21">
        <f t="shared" ca="1" si="57"/>
        <v>96.852848898461545</v>
      </c>
    </row>
    <row r="60" spans="1:81" ht="15.75" thickBot="1" x14ac:dyDescent="0.3">
      <c r="A60" s="19" t="s">
        <v>3</v>
      </c>
      <c r="B60" s="11" cm="1">
        <f t="array" ref="B60">_xll.BDP(A60&amp;" Govt","COUPON")</f>
        <v>2.375</v>
      </c>
      <c r="C60" s="17" cm="1">
        <f t="array" ref="C60">DATEVALUE(_xll.BDP(A60&amp;" Govt","MATURITY"))</f>
        <v>56660</v>
      </c>
      <c r="D60" s="15" cm="1">
        <f t="array" aca="1" ref="D60" ca="1">_xll.BDH(A60&amp;"@BVN4 CUSIP","PX_MID",$A$1,$A$1)</f>
        <v>100.541015625</v>
      </c>
      <c r="E60" s="15" t="str">
        <f t="shared" ca="1" si="13"/>
        <v>100-173</v>
      </c>
      <c r="F60" s="15" cm="1">
        <f t="array" aca="1" ref="F60" ca="1">_xll.BDP(A60&amp;" Govt","YAS_BOND_YLD","YAS_BOND_PX",D60,"SETTLE_DT",$A$2)</f>
        <v>2.349656</v>
      </c>
      <c r="G60" s="15" cm="1">
        <f t="array" aca="1" ref="G60" ca="1">_xll.BDP(A60&amp;" Govt","REPO_FORWARD_PRICE","REPO_TERM_DATE",$A$4,"PX_ASK="&amp;D60,"SETTLE_DT",$A$2,"REPO_REPORATE="&amp;$A$5)</f>
        <v>100.52553430451078</v>
      </c>
      <c r="H60" s="15" cm="1">
        <f t="array" aca="1" ref="H60" ca="1">_xll.BDP(A60&amp;" Govt","YAS_BOND_YLD","YAS_BOND_PX",G60,"SETTLE_DT",$A$4)</f>
        <v>2.3503750000000001</v>
      </c>
      <c r="I60" s="11"/>
      <c r="J60" s="11" t="str">
        <f>+VLOOKUP(A60,mapping!$A:$B,2,FALSE)</f>
        <v>912810UG1</v>
      </c>
      <c r="K60" s="11" cm="1">
        <f t="array" ref="K60">_xll.BDP(J60&amp;" Govt","COUPON")</f>
        <v>4.625</v>
      </c>
      <c r="L60" s="17" cm="1">
        <f t="array" ref="L60">DATEVALUE(_xll.BDP(J60&amp;" Govt","MATURITY"))</f>
        <v>56660</v>
      </c>
      <c r="M60" s="15" cm="1">
        <f t="array" aca="1" ref="M60" ca="1">_xll.BDH(J60&amp;"@BVN4 CUSIP","PX_MID",$A$1,$A$1)</f>
        <v>100.5234375</v>
      </c>
      <c r="N60" s="15" t="str">
        <f t="shared" ca="1" si="14"/>
        <v>100-166</v>
      </c>
      <c r="O60" s="15" cm="1">
        <f t="array" aca="1" ref="O60" ca="1">_xll.BDP(J60&amp;" Govt","YAS_BOND_YLD","YAS_BOND_PX",M60,"SETTLE_DT",$A$2)</f>
        <v>4.5923699999999998</v>
      </c>
      <c r="P60" s="15" cm="1">
        <f t="array" aca="1" ref="P60" ca="1">_xll.BDP(J60&amp;" Govt","REPO_FORWARD_PRICE","REPO_TERM_DATE",$A$4,"PX_ASK="&amp;M60,"SETTLE_DT",$A$2,"REPO_REPORATE="&amp;$A$5)</f>
        <v>100.52282287765811</v>
      </c>
      <c r="Q60" s="15" cm="1">
        <f t="array" aca="1" ref="Q60" ca="1">_xll.BDP(J60&amp;" Govt","YAS_BOND_YLD","YAS_BOND_PX",P60,"SETTLE_DT",$A$4)</f>
        <v>4.5924019999999999</v>
      </c>
      <c r="R60" s="11"/>
      <c r="S60" s="22">
        <f t="shared" ca="1" si="15"/>
        <v>224.2714</v>
      </c>
      <c r="T60" s="22">
        <f t="shared" ca="1" si="16"/>
        <v>224.20269999999996</v>
      </c>
      <c r="U60" s="15" cm="1">
        <f t="array" ref="U60">_xll.BDP($A60&amp;" Govt","BASE_CPI")</f>
        <v>315.54899999999998</v>
      </c>
      <c r="V60" s="15">
        <f t="shared" ca="1" si="17"/>
        <v>1.00525</v>
      </c>
      <c r="W60" s="14" cm="1">
        <f t="array" ref="W60">_xll.BDP($A60&amp;" Govt","YAS_RISK","YIELD_BETA_ASSUMPTION=1",)</f>
        <v>21.561613305015289</v>
      </c>
      <c r="X60" s="15">
        <f t="shared" ca="1" si="18"/>
        <v>0.14777303968376498</v>
      </c>
      <c r="Y60" s="15">
        <f t="shared" ca="1" si="51"/>
        <v>5.0711274028277631E-2</v>
      </c>
      <c r="Z60" s="15">
        <f t="shared" ca="1" si="52"/>
        <v>-1.5696346723037765E-2</v>
      </c>
      <c r="AA60" s="14">
        <f t="shared" ca="1" si="53"/>
        <v>22.779518350049731</v>
      </c>
      <c r="AB60" s="15" cm="1">
        <f t="array" ref="AB60">_xll.BDP(J60&amp;" Govt","YLD_YTM_MID")</f>
        <v>4.6044178000000002</v>
      </c>
      <c r="AC60" s="19">
        <v>0.75</v>
      </c>
      <c r="AD60" s="14">
        <f t="shared" ca="1" si="54"/>
        <v>0.30039500000000885</v>
      </c>
      <c r="AE60" s="22">
        <f t="shared" ca="1" si="55"/>
        <v>224.48739865327693</v>
      </c>
      <c r="AF60" s="22" cm="1">
        <f t="array" ref="AF60">(AB60-_xll.BDP(A60&amp;" Govt","YLD_YTM_MID"))*100</f>
        <v>225.86727419553597</v>
      </c>
      <c r="AG60" s="22">
        <f ca="1">+AF60-AE60</f>
        <v>1.3798755422590432</v>
      </c>
      <c r="AI60" s="12">
        <v>5</v>
      </c>
      <c r="AJ60" s="12">
        <v>5</v>
      </c>
      <c r="AL60" s="13">
        <v>0</v>
      </c>
      <c r="AM60" s="13">
        <v>0</v>
      </c>
      <c r="AO60" s="14">
        <f t="shared" ca="1" si="19"/>
        <v>0.72847198527331458</v>
      </c>
      <c r="AP60" s="14">
        <f t="shared" ca="1" si="19"/>
        <v>0.72847198527331458</v>
      </c>
      <c r="AR60" s="5">
        <f ca="1">+AB60-AE60/100+AO60/100</f>
        <v>2.3668285333199641</v>
      </c>
      <c r="AS60" s="5">
        <f ca="1">+AB60-AE60/100-AP60/100</f>
        <v>2.3522590936144976</v>
      </c>
      <c r="AT60" cm="1">
        <f t="array" aca="1" ref="AT60" ca="1">_xll.BDP($A60&amp;" Govt","YAS_BOND_PX","YAS_BOND_YLD",AR60,"SETTLE_DT",$A$4)</f>
        <v>100.17323007158627</v>
      </c>
      <c r="AU60" cm="1">
        <f t="array" aca="1" ref="AU60" ca="1">_xll.BDP($A60&amp;" Govt","YAS_BOND_PX","YAS_BOND_YLD",AS60,"SETTLE_DT",$A$4)</f>
        <v>100.48510566001571</v>
      </c>
      <c r="AV60" s="15" t="str">
        <f ca="1">TEXT(ROUNDDOWN(AT60,0),"00")&amp;"-"&amp;TEXT(ROUNDDOWN((AT60-ROUNDDOWN(AT60,0))/(1/32),0),"00")&amp;ROUND(((AT60-ROUNDDOWN(AT60,0))-ROUNDDOWN((AT60-ROUNDDOWN(AT60,0))/(0.03125),0)*(1/32))/(1/(32*8)),0)</f>
        <v>100-054</v>
      </c>
      <c r="AW60" s="15" t="str">
        <f ca="1">TEXT(ROUNDDOWN(AU60,0),"00")&amp;"-"&amp;TEXT(ROUNDDOWN((AU60-ROUNDDOWN(AU60,0))/(1/32),0),"00")&amp;ROUND(((AU60-ROUNDDOWN(AU60,0))-ROUNDDOWN((AU60-ROUNDDOWN(AU60,0))/(0.03125),0)*(1/32))/(1/(32*8)),0)</f>
        <v>100-154</v>
      </c>
      <c r="AY60" cm="1">
        <f t="array" ref="AY60">_xll.BDP($A60&amp;" Govt","CBBT_PX_BID")</f>
        <v>100.5390625</v>
      </c>
      <c r="AZ60" cm="1">
        <f t="array" ref="AZ60">_xll.BDP($A60&amp;" Govt","CBBT_PX_ASK")</f>
        <v>100.7109375</v>
      </c>
      <c r="BA60">
        <f t="shared" si="20"/>
        <v>100.625</v>
      </c>
      <c r="BB60" cm="1">
        <f t="array" aca="1" ref="BB60" ca="1">_xll.BDP(A60&amp;" Govt","YAS_BOND_YLD","YAS_BOND_PX",BA60,"SETTLE_DT",$A$4)</f>
        <v>2.345742</v>
      </c>
      <c r="BC60" s="15" t="str">
        <f t="shared" si="21"/>
        <v>100-172</v>
      </c>
      <c r="BD60" s="15" t="str">
        <f t="shared" si="22"/>
        <v>100-226</v>
      </c>
      <c r="BF60" s="4">
        <f t="shared" ca="1" si="23"/>
        <v>100.17323007158627</v>
      </c>
      <c r="BG60" s="4">
        <f t="shared" ca="1" si="24"/>
        <v>100.7109375</v>
      </c>
      <c r="BH60" s="27">
        <f t="shared" si="25"/>
        <v>2.375</v>
      </c>
      <c r="BI60" s="28">
        <f t="shared" si="26"/>
        <v>56660</v>
      </c>
      <c r="BJ60" s="36" t="str">
        <f t="shared" ca="1" si="27"/>
        <v>100-054</v>
      </c>
      <c r="BK60" s="37" t="str">
        <f t="shared" ca="1" si="28"/>
        <v>100-226</v>
      </c>
      <c r="BL60" s="18">
        <v>100</v>
      </c>
      <c r="BM60" s="19" t="s">
        <v>156</v>
      </c>
      <c r="BN60" s="11"/>
      <c r="BO60" s="14"/>
      <c r="BP60" s="14"/>
      <c r="BQ60" s="11"/>
      <c r="BR60" s="14"/>
      <c r="BS60" s="14"/>
      <c r="BT60" s="14"/>
      <c r="BU60" s="11"/>
      <c r="BV60" s="14"/>
      <c r="BW60" s="20">
        <v>1</v>
      </c>
      <c r="BX60" s="16"/>
      <c r="BY60" s="11"/>
      <c r="BZ60" s="11" t="str">
        <f t="shared" si="31"/>
        <v>CT30</v>
      </c>
      <c r="CA60" s="11" t="str">
        <f t="shared" si="32"/>
        <v/>
      </c>
      <c r="CB60" s="21">
        <f t="shared" si="56"/>
        <v>99.888210060903219</v>
      </c>
      <c r="CC60" s="21" t="str">
        <f t="shared" si="57"/>
        <v>--</v>
      </c>
    </row>
    <row r="61" spans="1:81" ht="15.75" thickTop="1" x14ac:dyDescent="0.25">
      <c r="CB61" s="5"/>
    </row>
  </sheetData>
  <conditionalFormatting sqref="CE33:XFD33 BW33:BW43 CB61 CB10:CC33 AQ33:CC33 AQ34:XFD60 AQ8:XFD32 A8:AP60">
    <cfRule type="expression" dxfId="0" priority="2">
      <formula>$BM8&lt;&gt;""</formula>
    </cfRule>
  </conditionalFormatting>
  <conditionalFormatting sqref="CC10:CC19">
    <cfRule type="expression" priority="1">
      <formula>IF(ISERROR(CC10),"--",CC10)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mapping</vt:lpstr>
      <vt:lpstr>TIPS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Cashyn</dc:creator>
  <cp:lastModifiedBy>Igor Cashyn</cp:lastModifiedBy>
  <dcterms:created xsi:type="dcterms:W3CDTF">2025-03-23T19:37:31Z</dcterms:created>
  <dcterms:modified xsi:type="dcterms:W3CDTF">2025-03-24T01:22:52Z</dcterms:modified>
</cp:coreProperties>
</file>